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germon/Documents/Divers_labo/Projets_2_suivi/2019_07_MASTICELLS_DSCC/2023_lait_Pin_Haras_HF_NO/2023_03_28_Fluidigm/"/>
    </mc:Choice>
  </mc:AlternateContent>
  <xr:revisionPtr revIDLastSave="0" documentId="13_ncr:1_{15948581-5BAB-494E-A802-ADF8E73D93EA}" xr6:coauthVersionLast="47" xr6:coauthVersionMax="47" xr10:uidLastSave="{00000000-0000-0000-0000-000000000000}"/>
  <bookViews>
    <workbookView xWindow="72960" yWindow="500" windowWidth="38000" windowHeight="19680" xr2:uid="{DFCCDF8E-6F35-0C4F-86F4-88C4250B8628}"/>
  </bookViews>
  <sheets>
    <sheet name="Feuil1" sheetId="1" r:id="rId1"/>
    <sheet name="Feuil3" sheetId="3" r:id="rId2"/>
    <sheet name="Feuil2" sheetId="2" r:id="rId3"/>
  </sheets>
  <definedNames>
    <definedName name="_xlnm._FilterDatabase" localSheetId="0" hidden="1">Feuil1!$A$1:$AK$1</definedName>
    <definedName name="_xlnm._FilterDatabase" localSheetId="2" hidden="1">Feuil2!$A$1:$N$1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3" l="1"/>
  <c r="M15" i="3"/>
  <c r="M14" i="3"/>
  <c r="M16" i="3"/>
  <c r="M21" i="3"/>
  <c r="M18" i="3"/>
  <c r="M20" i="3"/>
  <c r="M19" i="3"/>
  <c r="M5" i="3"/>
  <c r="M2" i="3"/>
  <c r="M6" i="3"/>
  <c r="M3" i="3"/>
  <c r="M4" i="3"/>
  <c r="M12" i="3"/>
  <c r="M8" i="3"/>
  <c r="M11" i="3"/>
  <c r="M7" i="3"/>
  <c r="M9" i="3"/>
  <c r="M10" i="3"/>
  <c r="M13" i="3"/>
  <c r="M20" i="1"/>
  <c r="M8" i="1"/>
  <c r="M41" i="1"/>
  <c r="M2" i="1"/>
  <c r="M29" i="1"/>
  <c r="M7" i="1"/>
  <c r="M33" i="1"/>
  <c r="M32" i="1"/>
  <c r="M39" i="1"/>
  <c r="M34" i="1"/>
  <c r="M3" i="1"/>
  <c r="M21" i="1"/>
  <c r="M22" i="1"/>
  <c r="M24" i="1"/>
  <c r="M4" i="1"/>
  <c r="M12" i="1"/>
  <c r="M26" i="1"/>
  <c r="M40" i="1"/>
  <c r="M35" i="1"/>
  <c r="M38" i="1"/>
  <c r="M11" i="1"/>
  <c r="M17" i="1"/>
  <c r="M10" i="1"/>
  <c r="M9" i="1"/>
  <c r="M18" i="1"/>
  <c r="M16" i="1"/>
  <c r="M14" i="1"/>
  <c r="M6" i="1"/>
  <c r="M25" i="1"/>
  <c r="M15" i="1"/>
  <c r="M5" i="1"/>
  <c r="M27" i="1"/>
  <c r="M19" i="1"/>
  <c r="M13" i="1"/>
  <c r="M23" i="1"/>
  <c r="M36" i="1"/>
  <c r="M28" i="1"/>
  <c r="M30" i="1"/>
  <c r="M31" i="1"/>
  <c r="M37" i="1"/>
  <c r="I38" i="1"/>
  <c r="I35" i="1"/>
  <c r="I39" i="1"/>
  <c r="I34" i="1"/>
  <c r="I32" i="1"/>
  <c r="I7" i="1"/>
  <c r="I33" i="1"/>
  <c r="I29" i="1"/>
  <c r="I24" i="1"/>
  <c r="I22" i="1"/>
  <c r="I21" i="1"/>
  <c r="I40" i="1"/>
  <c r="I26" i="1"/>
  <c r="I41" i="1"/>
  <c r="I8" i="1"/>
  <c r="I2" i="1"/>
  <c r="I20" i="1"/>
  <c r="I12" i="1"/>
  <c r="I4" i="1"/>
  <c r="I3" i="1"/>
  <c r="I32" i="2"/>
  <c r="J32" i="2"/>
  <c r="K32" i="2"/>
  <c r="I33" i="2"/>
  <c r="J33" i="2"/>
  <c r="K33" i="2"/>
  <c r="I34" i="2"/>
  <c r="J34" i="2"/>
  <c r="K34" i="2"/>
  <c r="I35" i="2"/>
  <c r="J35" i="2"/>
  <c r="K35" i="2"/>
  <c r="I36" i="2"/>
  <c r="J36" i="2"/>
  <c r="K36" i="2"/>
  <c r="I37" i="2"/>
  <c r="J37" i="2"/>
  <c r="K37" i="2"/>
  <c r="I38" i="2"/>
  <c r="J38" i="2"/>
  <c r="K38" i="2"/>
  <c r="I39" i="2"/>
  <c r="J39" i="2"/>
  <c r="K39" i="2"/>
  <c r="I40" i="2"/>
  <c r="J40" i="2"/>
  <c r="K40" i="2"/>
  <c r="I41" i="2"/>
  <c r="J41" i="2"/>
  <c r="K41" i="2"/>
  <c r="I22" i="2" l="1"/>
  <c r="J22" i="2"/>
  <c r="K22" i="2"/>
  <c r="I23" i="2"/>
  <c r="J23" i="2"/>
  <c r="K23" i="2"/>
  <c r="I24" i="2"/>
  <c r="J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I29" i="2"/>
  <c r="J29" i="2"/>
  <c r="K29" i="2"/>
  <c r="I30" i="2"/>
  <c r="J30" i="2"/>
  <c r="K30" i="2"/>
  <c r="I31" i="2"/>
  <c r="J31" i="2"/>
  <c r="K31" i="2"/>
  <c r="N21" i="2"/>
  <c r="N13" i="2"/>
  <c r="N20" i="2"/>
  <c r="N4" i="2"/>
  <c r="N12" i="2"/>
  <c r="N11" i="2"/>
  <c r="N10" i="2"/>
  <c r="N19" i="2"/>
  <c r="N8" i="2"/>
  <c r="N18" i="2"/>
  <c r="N7" i="2"/>
  <c r="N3" i="2"/>
  <c r="N2" i="2"/>
  <c r="N16" i="2"/>
  <c r="N6" i="2"/>
  <c r="N15" i="2"/>
  <c r="N14" i="2"/>
  <c r="N9" i="2"/>
  <c r="N5" i="2"/>
  <c r="N17" i="2"/>
  <c r="K21" i="2"/>
  <c r="J21" i="2"/>
  <c r="I21" i="2"/>
  <c r="K18" i="2"/>
  <c r="J18" i="2"/>
  <c r="I18" i="2"/>
  <c r="K19" i="2"/>
  <c r="J19" i="2"/>
  <c r="I19" i="2"/>
  <c r="K20" i="2"/>
  <c r="J20" i="2"/>
  <c r="I20" i="2"/>
  <c r="K17" i="2"/>
  <c r="J17" i="2"/>
  <c r="I17" i="2"/>
  <c r="K15" i="2"/>
  <c r="J15" i="2"/>
  <c r="I15" i="2"/>
  <c r="K16" i="2"/>
  <c r="J16" i="2"/>
  <c r="I16" i="2"/>
  <c r="K14" i="2"/>
  <c r="J14" i="2"/>
  <c r="I14" i="2"/>
  <c r="K13" i="2"/>
  <c r="J13" i="2"/>
  <c r="I13" i="2"/>
  <c r="K12" i="2"/>
  <c r="J12" i="2"/>
  <c r="I12" i="2"/>
  <c r="K10" i="2"/>
  <c r="J10" i="2"/>
  <c r="I10" i="2"/>
  <c r="K11" i="2"/>
  <c r="J11" i="2"/>
  <c r="I11" i="2"/>
  <c r="K9" i="2"/>
  <c r="J9" i="2"/>
  <c r="I9" i="2"/>
  <c r="K6" i="2"/>
  <c r="J6" i="2"/>
  <c r="I6" i="2"/>
  <c r="K8" i="2"/>
  <c r="J8" i="2"/>
  <c r="I8" i="2"/>
  <c r="K7" i="2"/>
  <c r="J7" i="2"/>
  <c r="I7" i="2"/>
  <c r="K5" i="2"/>
  <c r="J5" i="2"/>
  <c r="I5" i="2"/>
  <c r="K2" i="2"/>
  <c r="J2" i="2"/>
  <c r="I2" i="2"/>
  <c r="K4" i="2"/>
  <c r="J4" i="2"/>
  <c r="I4" i="2"/>
  <c r="J3" i="2"/>
  <c r="K3" i="2"/>
  <c r="I3" i="2"/>
  <c r="F21" i="2"/>
  <c r="F18" i="2"/>
  <c r="F19" i="2"/>
  <c r="F20" i="2"/>
  <c r="F17" i="2"/>
  <c r="F13" i="2"/>
  <c r="F15" i="2"/>
  <c r="F12" i="2"/>
  <c r="F10" i="2"/>
  <c r="F11" i="2"/>
  <c r="F16" i="2"/>
  <c r="F9" i="2"/>
  <c r="F14" i="2"/>
  <c r="F6" i="2"/>
  <c r="F2" i="2"/>
  <c r="F8" i="2"/>
  <c r="F4" i="2"/>
  <c r="F7" i="2"/>
  <c r="F3" i="2"/>
  <c r="F5" i="2"/>
</calcChain>
</file>

<file path=xl/sharedStrings.xml><?xml version="1.0" encoding="utf-8"?>
<sst xmlns="http://schemas.openxmlformats.org/spreadsheetml/2006/main" count="419" uniqueCount="98">
  <si>
    <t>Neutrophile</t>
  </si>
  <si>
    <t>Macrophage</t>
  </si>
  <si>
    <t>Lymphocyte</t>
  </si>
  <si>
    <t>CCS</t>
  </si>
  <si>
    <t>Quartier</t>
  </si>
  <si>
    <t>VL1744_AVG</t>
  </si>
  <si>
    <t>VL1913_AVD</t>
  </si>
  <si>
    <t>VL1914_AVG</t>
  </si>
  <si>
    <t>VL1926_AVG</t>
  </si>
  <si>
    <t>VL1814_ARD</t>
  </si>
  <si>
    <t>VL1916_AVD</t>
  </si>
  <si>
    <t>VL1531_AVG</t>
  </si>
  <si>
    <t>VL1910_ARD</t>
  </si>
  <si>
    <t>VL1921_ARD</t>
  </si>
  <si>
    <t>VL2011_AVG</t>
  </si>
  <si>
    <t>Total</t>
  </si>
  <si>
    <t>Serie</t>
  </si>
  <si>
    <t>VL1517_AVG</t>
  </si>
  <si>
    <t>VL1815_ARD</t>
  </si>
  <si>
    <t>VL1818_ARD</t>
  </si>
  <si>
    <t>VL1743_ARD</t>
  </si>
  <si>
    <t>VL1717_ARD</t>
  </si>
  <si>
    <t>VL1743_AVG</t>
  </si>
  <si>
    <t>VL1717_ARG</t>
  </si>
  <si>
    <t>VL1517_AVD</t>
  </si>
  <si>
    <t>VL1818_ARG</t>
  </si>
  <si>
    <t>VL1815_AVD</t>
  </si>
  <si>
    <t>Cluster_lait</t>
  </si>
  <si>
    <t>Velage</t>
  </si>
  <si>
    <t>Date</t>
  </si>
  <si>
    <t>nb_jours</t>
  </si>
  <si>
    <t>Race</t>
  </si>
  <si>
    <t>HF</t>
  </si>
  <si>
    <t>NO</t>
  </si>
  <si>
    <t>VL9149_ARD</t>
  </si>
  <si>
    <t>VL7504_AVD</t>
  </si>
  <si>
    <t>VL7186_ARD</t>
  </si>
  <si>
    <t>VL1076_AVD</t>
  </si>
  <si>
    <t>VL1127_AVD</t>
  </si>
  <si>
    <t>VL1064_ARG</t>
  </si>
  <si>
    <t>VL1063_AVG</t>
  </si>
  <si>
    <t>VL1145_ARD</t>
  </si>
  <si>
    <t>VL9148_ARD</t>
  </si>
  <si>
    <t>VL7501_AVG</t>
  </si>
  <si>
    <t>VL1083_AVG</t>
  </si>
  <si>
    <t>VL1101_ARD</t>
  </si>
  <si>
    <t>VL1095_ARG</t>
  </si>
  <si>
    <t>VL9045_AVD</t>
  </si>
  <si>
    <t>VL1124_AVD</t>
  </si>
  <si>
    <t>VL9088_ARD</t>
  </si>
  <si>
    <t>VL8324_AVD</t>
  </si>
  <si>
    <t>VL9089_AVD</t>
  </si>
  <si>
    <t>VL8332_AVG</t>
  </si>
  <si>
    <t>VL1096_AVD</t>
  </si>
  <si>
    <t>Macrophage_num</t>
  </si>
  <si>
    <t>Lymphocyte_num</t>
  </si>
  <si>
    <t>Neutrophile_num</t>
  </si>
  <si>
    <t>0_0.5</t>
  </si>
  <si>
    <t>0.5_1</t>
  </si>
  <si>
    <t>1_1.5</t>
  </si>
  <si>
    <t>1.5_2</t>
  </si>
  <si>
    <t>2_2.5</t>
  </si>
  <si>
    <t>2.5_3</t>
  </si>
  <si>
    <t>3_4</t>
  </si>
  <si>
    <t>4_5</t>
  </si>
  <si>
    <t>5_9</t>
  </si>
  <si>
    <t>SCS_cate</t>
  </si>
  <si>
    <t>SCS</t>
  </si>
  <si>
    <t>SCS_cate_2</t>
  </si>
  <si>
    <t>Beta-lactamase gene</t>
  </si>
  <si>
    <t>C. bovis</t>
  </si>
  <si>
    <t>E. coli</t>
  </si>
  <si>
    <t>Enterococcus sp. (including faecalis and faecium)</t>
  </si>
  <si>
    <t>Klebsiella sp. (including oxytoca and pneumonia)</t>
  </si>
  <si>
    <t>M. bovis</t>
  </si>
  <si>
    <t>Mycoplasma sp.</t>
  </si>
  <si>
    <t>Prototheca sp.</t>
  </si>
  <si>
    <t>S. marcescens</t>
  </si>
  <si>
    <t>Staph. aureus</t>
  </si>
  <si>
    <t>Staphylococcus sp.</t>
  </si>
  <si>
    <t>Str. agalactiae</t>
  </si>
  <si>
    <t>Str. dysgalactiae</t>
  </si>
  <si>
    <t>Str. uberis</t>
  </si>
  <si>
    <t>T. pyogenes and P. indolicus</t>
  </si>
  <si>
    <t>Yeasts</t>
  </si>
  <si>
    <t>Bacterio</t>
  </si>
  <si>
    <t>no_growth</t>
  </si>
  <si>
    <t>Macro_num</t>
  </si>
  <si>
    <t>Lympho_num</t>
  </si>
  <si>
    <t>Neutro_num</t>
  </si>
  <si>
    <t>Cluster_3_samples</t>
  </si>
  <si>
    <t>Cluster_4_samples</t>
  </si>
  <si>
    <t>Gplus</t>
  </si>
  <si>
    <t>jours_lait</t>
  </si>
  <si>
    <t>conta</t>
  </si>
  <si>
    <t>Bacterio_pathoproof</t>
  </si>
  <si>
    <t>negative</t>
  </si>
  <si>
    <t>S_spp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</si>
</sst>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332FE"/>
        <bgColor indexed="64"/>
      </patternFill>
    </fill>
    <fill>
      <patternFill patternType="solid">
        <fgColor rgb="FFFFA50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left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1" fontId="0" fillId="2" borderId="0" xfId="0" applyNumberFormat="1" applyFill="1" applyAlignment="1">
      <alignment horizontal="right"/>
    </xf>
    <xf numFmtId="14" fontId="2" fillId="2" borderId="0" xfId="0" applyNumberFormat="1" applyFont="1" applyFill="1"/>
    <xf numFmtId="0" fontId="0" fillId="2" borderId="0" xfId="0" applyFill="1" applyAlignment="1">
      <alignment horizontal="right"/>
    </xf>
    <xf numFmtId="0" fontId="0" fillId="3" borderId="0" xfId="0" applyFill="1" applyAlignment="1">
      <alignment horizontal="left"/>
    </xf>
    <xf numFmtId="1" fontId="0" fillId="3" borderId="0" xfId="0" applyNumberFormat="1" applyFill="1" applyAlignment="1">
      <alignment horizontal="right"/>
    </xf>
    <xf numFmtId="14" fontId="2" fillId="3" borderId="0" xfId="0" applyNumberFormat="1" applyFont="1" applyFill="1"/>
    <xf numFmtId="0" fontId="0" fillId="3" borderId="0" xfId="0" applyFill="1" applyAlignment="1">
      <alignment horizontal="right"/>
    </xf>
    <xf numFmtId="0" fontId="0" fillId="4" borderId="0" xfId="0" applyFill="1" applyAlignment="1">
      <alignment horizontal="left"/>
    </xf>
    <xf numFmtId="1" fontId="0" fillId="4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14" fontId="2" fillId="4" borderId="0" xfId="0" applyNumberFormat="1" applyFont="1" applyFill="1"/>
    <xf numFmtId="0" fontId="0" fillId="5" borderId="0" xfId="0" applyFill="1" applyAlignment="1">
      <alignment horizontal="left"/>
    </xf>
    <xf numFmtId="1" fontId="0" fillId="5" borderId="0" xfId="0" applyNumberFormat="1" applyFill="1" applyAlignment="1">
      <alignment horizontal="right"/>
    </xf>
    <xf numFmtId="14" fontId="2" fillId="5" borderId="0" xfId="0" applyNumberFormat="1" applyFont="1" applyFill="1"/>
    <xf numFmtId="0" fontId="0" fillId="5" borderId="0" xfId="0" applyFill="1" applyAlignment="1">
      <alignment horizontal="right"/>
    </xf>
    <xf numFmtId="0" fontId="0" fillId="6" borderId="0" xfId="0" applyFill="1" applyAlignment="1">
      <alignment horizontal="left"/>
    </xf>
    <xf numFmtId="1" fontId="0" fillId="6" borderId="0" xfId="0" applyNumberFormat="1" applyFill="1" applyAlignment="1">
      <alignment horizontal="right"/>
    </xf>
    <xf numFmtId="14" fontId="2" fillId="6" borderId="0" xfId="0" applyNumberFormat="1" applyFont="1" applyFill="1"/>
    <xf numFmtId="0" fontId="0" fillId="6" borderId="0" xfId="0" applyFill="1" applyAlignment="1">
      <alignment horizontal="right"/>
    </xf>
    <xf numFmtId="1" fontId="0" fillId="0" borderId="0" xfId="0" applyNumberFormat="1" applyAlignment="1">
      <alignment horizontal="right"/>
    </xf>
    <xf numFmtId="0" fontId="0" fillId="4" borderId="0" xfId="0" applyFill="1" applyAlignment="1">
      <alignment horizontal="left" vertical="center"/>
    </xf>
    <xf numFmtId="0" fontId="0" fillId="4" borderId="0" xfId="0" applyFill="1"/>
    <xf numFmtId="14" fontId="0" fillId="4" borderId="0" xfId="0" applyNumberFormat="1" applyFill="1" applyAlignment="1">
      <alignment horizontal="left"/>
    </xf>
    <xf numFmtId="1" fontId="1" fillId="0" borderId="0" xfId="0" applyNumberFormat="1" applyFont="1" applyAlignment="1">
      <alignment horizontal="right"/>
    </xf>
    <xf numFmtId="1" fontId="0" fillId="4" borderId="0" xfId="0" applyNumberFormat="1" applyFill="1" applyAlignment="1">
      <alignment horizontal="right" vertical="center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right" vertical="center"/>
    </xf>
    <xf numFmtId="0" fontId="0" fillId="3" borderId="0" xfId="0" applyFill="1"/>
    <xf numFmtId="164" fontId="0" fillId="0" borderId="0" xfId="0" applyNumberFormat="1" applyAlignment="1">
      <alignment horizontal="right"/>
    </xf>
    <xf numFmtId="164" fontId="1" fillId="0" borderId="0" xfId="0" applyNumberFormat="1" applyFont="1"/>
    <xf numFmtId="1" fontId="1" fillId="0" borderId="0" xfId="0" applyNumberFormat="1" applyFont="1"/>
    <xf numFmtId="0" fontId="0" fillId="7" borderId="1" xfId="0" applyFill="1" applyBorder="1"/>
    <xf numFmtId="164" fontId="0" fillId="0" borderId="0" xfId="0" applyNumberFormat="1"/>
    <xf numFmtId="0" fontId="0" fillId="8" borderId="0" xfId="0" applyFill="1" applyAlignment="1">
      <alignment horizontal="left" vertical="center"/>
    </xf>
    <xf numFmtId="0" fontId="0" fillId="8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9" borderId="0" xfId="0" applyFill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1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11" borderId="0" xfId="0" applyFill="1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32FE"/>
      <color rgb="FFFF7E79"/>
      <color rgb="FFFFFB00"/>
      <color rgb="FFFFA503"/>
      <color rgb="FF02F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FC19D-FF27-9843-A457-CECB12E2CD06}">
  <dimension ref="A1:AI41"/>
  <sheetViews>
    <sheetView tabSelected="1" workbookViewId="0">
      <selection activeCell="A2" sqref="A2:XFD20"/>
    </sheetView>
  </sheetViews>
  <sheetFormatPr baseColWidth="10" defaultRowHeight="16" x14ac:dyDescent="0.2"/>
  <cols>
    <col min="1" max="1" width="14" style="3" customWidth="1"/>
    <col min="2" max="4" width="14" style="33" customWidth="1"/>
    <col min="5" max="10" width="14" style="24" customWidth="1"/>
    <col min="11" max="11" width="14" style="1" customWidth="1"/>
    <col min="12" max="14" width="14" customWidth="1"/>
    <col min="15" max="15" width="23.6640625" customWidth="1"/>
    <col min="16" max="16" width="14" customWidth="1"/>
    <col min="17" max="19" width="14" style="3" customWidth="1"/>
    <col min="20" max="24" width="13.83203125" customWidth="1"/>
  </cols>
  <sheetData>
    <row r="1" spans="1:35" x14ac:dyDescent="0.2">
      <c r="A1" t="s">
        <v>4</v>
      </c>
      <c r="B1" s="34" t="s">
        <v>1</v>
      </c>
      <c r="C1" s="34" t="s">
        <v>2</v>
      </c>
      <c r="D1" s="34" t="s">
        <v>0</v>
      </c>
      <c r="E1" s="35" t="s">
        <v>3</v>
      </c>
      <c r="F1" s="35" t="s">
        <v>87</v>
      </c>
      <c r="G1" s="35" t="s">
        <v>88</v>
      </c>
      <c r="H1" s="35" t="s">
        <v>89</v>
      </c>
      <c r="I1" s="35" t="s">
        <v>15</v>
      </c>
      <c r="J1" s="35" t="s">
        <v>16</v>
      </c>
      <c r="K1" t="s">
        <v>31</v>
      </c>
      <c r="L1" s="35" t="s">
        <v>66</v>
      </c>
      <c r="M1" s="35" t="s">
        <v>67</v>
      </c>
      <c r="N1" s="35" t="s">
        <v>68</v>
      </c>
      <c r="O1" t="s">
        <v>90</v>
      </c>
      <c r="P1" t="s">
        <v>91</v>
      </c>
      <c r="Q1" t="s">
        <v>93</v>
      </c>
      <c r="R1" s="35" t="s">
        <v>85</v>
      </c>
      <c r="S1" s="35" t="s">
        <v>95</v>
      </c>
      <c r="T1" s="36" t="s">
        <v>79</v>
      </c>
      <c r="U1" s="36" t="s">
        <v>82</v>
      </c>
      <c r="V1" s="36" t="s">
        <v>81</v>
      </c>
      <c r="W1" s="36" t="s">
        <v>69</v>
      </c>
      <c r="X1" s="36" t="s">
        <v>71</v>
      </c>
      <c r="Y1" s="36" t="s">
        <v>70</v>
      </c>
      <c r="Z1" s="36" t="s">
        <v>72</v>
      </c>
      <c r="AA1" s="36" t="s">
        <v>73</v>
      </c>
      <c r="AB1" s="36" t="s">
        <v>74</v>
      </c>
      <c r="AC1" s="36" t="s">
        <v>75</v>
      </c>
      <c r="AD1" s="36" t="s">
        <v>76</v>
      </c>
      <c r="AE1" s="36" t="s">
        <v>77</v>
      </c>
      <c r="AF1" s="36" t="s">
        <v>78</v>
      </c>
      <c r="AG1" s="36" t="s">
        <v>80</v>
      </c>
      <c r="AH1" s="36" t="s">
        <v>83</v>
      </c>
      <c r="AI1" s="36" t="s">
        <v>84</v>
      </c>
    </row>
    <row r="2" spans="1:35" x14ac:dyDescent="0.2">
      <c r="A2" s="39" t="s">
        <v>20</v>
      </c>
      <c r="B2" s="33">
        <v>22.3</v>
      </c>
      <c r="C2" s="33">
        <v>19.260000000000002</v>
      </c>
      <c r="D2" s="33">
        <v>31.37</v>
      </c>
      <c r="E2" s="24">
        <v>75</v>
      </c>
      <c r="F2" s="24">
        <v>16.725000000000001</v>
      </c>
      <c r="G2" s="24">
        <v>14.445000000000002</v>
      </c>
      <c r="H2" s="24">
        <v>23.5275</v>
      </c>
      <c r="I2" s="24">
        <f>SUM(B2:D2)</f>
        <v>72.930000000000007</v>
      </c>
      <c r="J2" s="24">
        <v>1</v>
      </c>
      <c r="K2" s="1" t="s">
        <v>32</v>
      </c>
      <c r="L2" t="s">
        <v>62</v>
      </c>
      <c r="M2">
        <f>LOG(E2/100,2) + 3</f>
        <v>2.5849625007211561</v>
      </c>
      <c r="N2">
        <v>3</v>
      </c>
      <c r="O2">
        <v>1</v>
      </c>
      <c r="P2">
        <v>1</v>
      </c>
      <c r="Q2" s="3">
        <v>243</v>
      </c>
      <c r="R2" s="3" t="s">
        <v>94</v>
      </c>
    </row>
    <row r="3" spans="1:35" x14ac:dyDescent="0.2">
      <c r="A3" s="39" t="s">
        <v>5</v>
      </c>
      <c r="B3" s="33">
        <v>16</v>
      </c>
      <c r="C3" s="33">
        <v>13</v>
      </c>
      <c r="D3" s="33">
        <v>26</v>
      </c>
      <c r="E3" s="24">
        <v>45</v>
      </c>
      <c r="F3" s="24">
        <v>7.2</v>
      </c>
      <c r="G3" s="24">
        <v>5.85</v>
      </c>
      <c r="H3" s="24">
        <v>11.7</v>
      </c>
      <c r="I3" s="24">
        <f>SUM(B3:D3)</f>
        <v>55</v>
      </c>
      <c r="J3" s="24">
        <v>4</v>
      </c>
      <c r="K3" s="1" t="s">
        <v>32</v>
      </c>
      <c r="L3" t="s">
        <v>60</v>
      </c>
      <c r="M3">
        <f>LOG(E3/100,2) + 3</f>
        <v>1.84799690655495</v>
      </c>
      <c r="N3">
        <v>2</v>
      </c>
      <c r="O3">
        <v>2</v>
      </c>
      <c r="P3">
        <v>1</v>
      </c>
      <c r="Q3" s="46">
        <v>215</v>
      </c>
      <c r="R3" s="3" t="s">
        <v>94</v>
      </c>
    </row>
    <row r="4" spans="1:35" x14ac:dyDescent="0.2">
      <c r="A4" s="39" t="s">
        <v>9</v>
      </c>
      <c r="B4" s="33">
        <v>26.57</v>
      </c>
      <c r="C4" s="33">
        <v>25.93</v>
      </c>
      <c r="D4" s="33">
        <v>22.81</v>
      </c>
      <c r="E4" s="24">
        <v>23</v>
      </c>
      <c r="F4" s="24">
        <v>6.1111000000000004</v>
      </c>
      <c r="G4" s="24">
        <v>5.9638999999999998</v>
      </c>
      <c r="H4" s="24">
        <v>5.2462999999999997</v>
      </c>
      <c r="I4" s="24">
        <f>SUM(B4:D4)</f>
        <v>75.31</v>
      </c>
      <c r="J4" s="24">
        <v>6</v>
      </c>
      <c r="K4" s="1" t="s">
        <v>32</v>
      </c>
      <c r="L4" t="s">
        <v>58</v>
      </c>
      <c r="M4">
        <f>LOG(E4/100,2) + 3</f>
        <v>0.87970576628228825</v>
      </c>
      <c r="N4">
        <v>1</v>
      </c>
      <c r="O4">
        <v>1</v>
      </c>
      <c r="P4">
        <v>1</v>
      </c>
      <c r="Q4" s="46">
        <v>123</v>
      </c>
      <c r="R4" s="3" t="s">
        <v>94</v>
      </c>
    </row>
    <row r="5" spans="1:35" x14ac:dyDescent="0.2">
      <c r="A5" s="39" t="s">
        <v>47</v>
      </c>
      <c r="B5" s="37">
        <v>9.56</v>
      </c>
      <c r="C5" s="37">
        <v>15.18</v>
      </c>
      <c r="D5" s="37">
        <v>64.75</v>
      </c>
      <c r="E5" s="24">
        <v>76</v>
      </c>
      <c r="F5" s="24">
        <v>7.2656000000000009</v>
      </c>
      <c r="G5" s="24">
        <v>11.536800000000001</v>
      </c>
      <c r="H5" s="24">
        <v>49.21</v>
      </c>
      <c r="I5" s="3">
        <v>93.570000000000007</v>
      </c>
      <c r="J5" s="3">
        <v>20</v>
      </c>
      <c r="K5" s="1" t="s">
        <v>32</v>
      </c>
      <c r="L5" t="s">
        <v>62</v>
      </c>
      <c r="M5">
        <f>LOG(E5/100,2) + 3</f>
        <v>2.6040713236688608</v>
      </c>
      <c r="N5">
        <v>3</v>
      </c>
      <c r="O5">
        <v>1</v>
      </c>
      <c r="P5">
        <v>1</v>
      </c>
      <c r="Q5" s="3">
        <v>391</v>
      </c>
      <c r="R5" s="3" t="s">
        <v>92</v>
      </c>
      <c r="S5" s="3" t="s">
        <v>97</v>
      </c>
      <c r="T5">
        <v>32.799999999999997</v>
      </c>
      <c r="U5">
        <v>40</v>
      </c>
      <c r="V5">
        <v>39.4</v>
      </c>
      <c r="W5">
        <v>40</v>
      </c>
      <c r="X5">
        <v>40</v>
      </c>
      <c r="Y5">
        <v>40</v>
      </c>
      <c r="Z5">
        <v>40</v>
      </c>
      <c r="AA5">
        <v>40</v>
      </c>
      <c r="AB5">
        <v>40</v>
      </c>
      <c r="AC5">
        <v>40</v>
      </c>
      <c r="AD5">
        <v>40</v>
      </c>
      <c r="AE5">
        <v>40</v>
      </c>
      <c r="AF5">
        <v>40</v>
      </c>
      <c r="AG5">
        <v>40</v>
      </c>
      <c r="AH5">
        <v>40</v>
      </c>
      <c r="AI5">
        <v>40</v>
      </c>
    </row>
    <row r="6" spans="1:35" x14ac:dyDescent="0.2">
      <c r="A6" s="39" t="s">
        <v>51</v>
      </c>
      <c r="B6" s="37">
        <v>6.96</v>
      </c>
      <c r="C6" s="37">
        <v>28.33</v>
      </c>
      <c r="D6" s="37">
        <v>55</v>
      </c>
      <c r="E6" s="24">
        <v>51</v>
      </c>
      <c r="F6" s="24">
        <v>3.5495999999999999</v>
      </c>
      <c r="G6" s="24">
        <v>14.4483</v>
      </c>
      <c r="H6" s="24">
        <v>28.05</v>
      </c>
      <c r="I6" s="3">
        <v>94.55</v>
      </c>
      <c r="J6" s="3">
        <v>20</v>
      </c>
      <c r="K6" s="1" t="s">
        <v>33</v>
      </c>
      <c r="L6" t="s">
        <v>61</v>
      </c>
      <c r="M6">
        <f>LOG(E6/100,2) + 3</f>
        <v>2.0285691521967708</v>
      </c>
      <c r="N6">
        <v>3</v>
      </c>
      <c r="O6">
        <v>1</v>
      </c>
      <c r="P6">
        <v>1</v>
      </c>
      <c r="Q6" s="3">
        <v>294</v>
      </c>
      <c r="R6" s="3" t="s">
        <v>92</v>
      </c>
      <c r="S6" s="3" t="s">
        <v>97</v>
      </c>
      <c r="T6">
        <v>31.5</v>
      </c>
      <c r="U6">
        <v>38.6</v>
      </c>
      <c r="V6">
        <v>39.700000000000003</v>
      </c>
      <c r="W6">
        <v>40</v>
      </c>
      <c r="X6">
        <v>40</v>
      </c>
      <c r="Y6">
        <v>40</v>
      </c>
      <c r="Z6">
        <v>40</v>
      </c>
      <c r="AA6">
        <v>40</v>
      </c>
      <c r="AB6">
        <v>40</v>
      </c>
      <c r="AC6">
        <v>40</v>
      </c>
      <c r="AD6">
        <v>40</v>
      </c>
      <c r="AE6">
        <v>40</v>
      </c>
      <c r="AF6">
        <v>40</v>
      </c>
      <c r="AG6">
        <v>40</v>
      </c>
      <c r="AH6">
        <v>40</v>
      </c>
      <c r="AI6">
        <v>40</v>
      </c>
    </row>
    <row r="7" spans="1:35" x14ac:dyDescent="0.2">
      <c r="A7" s="39" t="s">
        <v>22</v>
      </c>
      <c r="B7" s="33">
        <v>42.94</v>
      </c>
      <c r="C7" s="33">
        <v>33.1</v>
      </c>
      <c r="D7" s="33">
        <v>10.79</v>
      </c>
      <c r="E7" s="24">
        <v>128</v>
      </c>
      <c r="F7" s="24">
        <v>54.963200000000001</v>
      </c>
      <c r="G7" s="24">
        <v>42.368000000000002</v>
      </c>
      <c r="H7" s="24">
        <v>13.811199999999999</v>
      </c>
      <c r="I7" s="24">
        <f>SUM(B7:D7)</f>
        <v>86.829999999999984</v>
      </c>
      <c r="J7" s="24">
        <v>1</v>
      </c>
      <c r="K7" s="1" t="s">
        <v>32</v>
      </c>
      <c r="L7" t="s">
        <v>63</v>
      </c>
      <c r="M7">
        <f>LOG(E7/100,2) + 3</f>
        <v>3.3561438102252752</v>
      </c>
      <c r="N7">
        <v>4</v>
      </c>
      <c r="O7">
        <v>2</v>
      </c>
      <c r="P7">
        <v>1</v>
      </c>
      <c r="Q7" s="46">
        <v>243</v>
      </c>
      <c r="R7" s="3" t="s">
        <v>86</v>
      </c>
    </row>
    <row r="8" spans="1:35" x14ac:dyDescent="0.2">
      <c r="A8" s="39" t="s">
        <v>18</v>
      </c>
      <c r="B8" s="33">
        <v>3.98</v>
      </c>
      <c r="C8" s="33">
        <v>5.91</v>
      </c>
      <c r="D8" s="33">
        <v>83.79</v>
      </c>
      <c r="E8" s="24">
        <v>30</v>
      </c>
      <c r="F8" s="24">
        <v>1.194</v>
      </c>
      <c r="G8" s="24">
        <v>1.7730000000000001</v>
      </c>
      <c r="H8" s="24">
        <v>25.137000000000004</v>
      </c>
      <c r="I8" s="24">
        <f>SUM(B8:D8)</f>
        <v>93.68</v>
      </c>
      <c r="J8" s="24">
        <v>1</v>
      </c>
      <c r="K8" s="1" t="s">
        <v>32</v>
      </c>
      <c r="L8" t="s">
        <v>59</v>
      </c>
      <c r="M8">
        <f>LOG(E8/100,2) + 3</f>
        <v>1.2630344058337937</v>
      </c>
      <c r="N8">
        <v>2</v>
      </c>
      <c r="O8">
        <v>1</v>
      </c>
      <c r="P8">
        <v>1</v>
      </c>
      <c r="Q8" s="3">
        <v>284</v>
      </c>
      <c r="R8" s="3" t="s">
        <v>86</v>
      </c>
    </row>
    <row r="9" spans="1:35" x14ac:dyDescent="0.2">
      <c r="A9" s="38" t="s">
        <v>43</v>
      </c>
      <c r="B9" s="37">
        <v>15.59</v>
      </c>
      <c r="C9" s="37">
        <v>28.5</v>
      </c>
      <c r="D9" s="37">
        <v>39.85</v>
      </c>
      <c r="E9" s="31">
        <v>27</v>
      </c>
      <c r="F9" s="31">
        <v>4.2092999999999998</v>
      </c>
      <c r="G9" s="31">
        <v>7.6950000000000003</v>
      </c>
      <c r="H9" s="31">
        <v>10.759500000000001</v>
      </c>
      <c r="I9" s="3">
        <v>85.95</v>
      </c>
      <c r="J9" s="3">
        <v>20</v>
      </c>
      <c r="K9" s="1" t="s">
        <v>33</v>
      </c>
      <c r="L9" t="s">
        <v>59</v>
      </c>
      <c r="M9">
        <f>LOG(E9/100,2) + 3</f>
        <v>1.1110313123887439</v>
      </c>
      <c r="N9">
        <v>2</v>
      </c>
      <c r="O9">
        <v>1</v>
      </c>
      <c r="P9">
        <v>1</v>
      </c>
      <c r="Q9" s="3">
        <v>261</v>
      </c>
      <c r="R9" s="3" t="s">
        <v>86</v>
      </c>
      <c r="S9" s="3" t="s">
        <v>96</v>
      </c>
      <c r="T9">
        <v>40</v>
      </c>
      <c r="U9">
        <v>40</v>
      </c>
      <c r="V9">
        <v>40</v>
      </c>
      <c r="W9">
        <v>40</v>
      </c>
      <c r="X9">
        <v>40</v>
      </c>
      <c r="Y9">
        <v>40</v>
      </c>
      <c r="Z9">
        <v>40</v>
      </c>
      <c r="AA9">
        <v>40</v>
      </c>
      <c r="AB9">
        <v>40</v>
      </c>
      <c r="AC9">
        <v>40</v>
      </c>
      <c r="AD9">
        <v>40</v>
      </c>
      <c r="AE9">
        <v>40</v>
      </c>
      <c r="AF9">
        <v>40</v>
      </c>
      <c r="AG9">
        <v>40</v>
      </c>
      <c r="AH9">
        <v>40</v>
      </c>
      <c r="AI9">
        <v>40</v>
      </c>
    </row>
    <row r="10" spans="1:35" x14ac:dyDescent="0.2">
      <c r="A10" s="39" t="s">
        <v>50</v>
      </c>
      <c r="B10" s="37">
        <v>28.05</v>
      </c>
      <c r="C10" s="37">
        <v>61.55</v>
      </c>
      <c r="D10" s="37">
        <v>0.94</v>
      </c>
      <c r="E10" s="24">
        <v>25</v>
      </c>
      <c r="F10" s="24">
        <v>7.0125000000000002</v>
      </c>
      <c r="G10" s="24">
        <v>15.387499999999999</v>
      </c>
      <c r="H10" s="24">
        <v>0.23499999999999999</v>
      </c>
      <c r="I10" s="3">
        <v>91.22</v>
      </c>
      <c r="J10" s="3">
        <v>20</v>
      </c>
      <c r="K10" s="1" t="s">
        <v>33</v>
      </c>
      <c r="L10" t="s">
        <v>58</v>
      </c>
      <c r="M10">
        <f>LOG(E10/100,2) + 3</f>
        <v>1</v>
      </c>
      <c r="N10">
        <v>2</v>
      </c>
      <c r="O10">
        <v>2</v>
      </c>
      <c r="P10">
        <v>1</v>
      </c>
      <c r="Q10" s="3">
        <v>265</v>
      </c>
      <c r="R10" s="3" t="s">
        <v>86</v>
      </c>
      <c r="S10" s="3" t="s">
        <v>96</v>
      </c>
      <c r="T10">
        <v>40</v>
      </c>
      <c r="U10">
        <v>40</v>
      </c>
      <c r="V10">
        <v>40</v>
      </c>
      <c r="W10">
        <v>40</v>
      </c>
      <c r="X10">
        <v>40</v>
      </c>
      <c r="Y10">
        <v>40</v>
      </c>
      <c r="Z10">
        <v>40</v>
      </c>
      <c r="AA10">
        <v>40</v>
      </c>
      <c r="AB10">
        <v>40</v>
      </c>
      <c r="AC10">
        <v>40</v>
      </c>
      <c r="AD10">
        <v>40</v>
      </c>
      <c r="AE10">
        <v>40</v>
      </c>
      <c r="AF10">
        <v>40</v>
      </c>
      <c r="AG10">
        <v>40</v>
      </c>
      <c r="AH10">
        <v>40</v>
      </c>
      <c r="AI10">
        <v>40</v>
      </c>
    </row>
    <row r="11" spans="1:35" x14ac:dyDescent="0.2">
      <c r="A11" s="39" t="s">
        <v>49</v>
      </c>
      <c r="B11" s="37">
        <v>9.0500000000000007</v>
      </c>
      <c r="C11" s="37">
        <v>19.399999999999999</v>
      </c>
      <c r="D11" s="37">
        <v>65.47</v>
      </c>
      <c r="E11" s="24">
        <v>17</v>
      </c>
      <c r="F11" s="24">
        <v>1.5385000000000002</v>
      </c>
      <c r="G11" s="24">
        <v>3.2979999999999996</v>
      </c>
      <c r="H11" s="24">
        <v>11.129899999999999</v>
      </c>
      <c r="I11" s="3">
        <v>94.429999999999993</v>
      </c>
      <c r="J11" s="3">
        <v>20</v>
      </c>
      <c r="K11" s="1" t="s">
        <v>33</v>
      </c>
      <c r="L11" t="s">
        <v>57</v>
      </c>
      <c r="M11">
        <f>LOG(E11/100,2) + 3</f>
        <v>0.44360665147561473</v>
      </c>
      <c r="N11">
        <v>1</v>
      </c>
      <c r="O11">
        <v>1</v>
      </c>
      <c r="P11">
        <v>1</v>
      </c>
      <c r="Q11" s="3">
        <v>299</v>
      </c>
      <c r="R11" s="3" t="s">
        <v>86</v>
      </c>
      <c r="S11" s="3" t="s">
        <v>96</v>
      </c>
      <c r="T11">
        <v>40</v>
      </c>
      <c r="U11">
        <v>39.9</v>
      </c>
      <c r="V11">
        <v>38.4</v>
      </c>
      <c r="W11">
        <v>40</v>
      </c>
      <c r="X11">
        <v>40</v>
      </c>
      <c r="Y11">
        <v>40</v>
      </c>
      <c r="Z11">
        <v>40</v>
      </c>
      <c r="AA11">
        <v>40</v>
      </c>
      <c r="AB11">
        <v>40</v>
      </c>
      <c r="AC11">
        <v>40</v>
      </c>
      <c r="AD11">
        <v>40</v>
      </c>
      <c r="AE11">
        <v>40</v>
      </c>
      <c r="AF11">
        <v>40</v>
      </c>
      <c r="AG11">
        <v>40</v>
      </c>
      <c r="AH11">
        <v>40</v>
      </c>
      <c r="AI11">
        <v>40</v>
      </c>
    </row>
    <row r="12" spans="1:35" x14ac:dyDescent="0.2">
      <c r="A12" s="39" t="s">
        <v>10</v>
      </c>
      <c r="B12" s="33">
        <v>27.55</v>
      </c>
      <c r="C12" s="33">
        <v>23.41</v>
      </c>
      <c r="D12" s="33">
        <v>27.79</v>
      </c>
      <c r="E12" s="24">
        <v>31</v>
      </c>
      <c r="F12" s="24">
        <v>8.5405000000000015</v>
      </c>
      <c r="G12" s="24">
        <v>7.2571000000000003</v>
      </c>
      <c r="H12" s="24">
        <v>8.6149000000000004</v>
      </c>
      <c r="I12" s="24">
        <f>SUM(B12:D12)</f>
        <v>78.75</v>
      </c>
      <c r="J12" s="24">
        <v>6</v>
      </c>
      <c r="K12" s="1" t="s">
        <v>32</v>
      </c>
      <c r="L12" t="s">
        <v>59</v>
      </c>
      <c r="M12">
        <f>LOG(E12/100,2) + 3</f>
        <v>1.3103401206121505</v>
      </c>
      <c r="N12">
        <v>2</v>
      </c>
      <c r="O12">
        <v>1</v>
      </c>
      <c r="P12">
        <v>1</v>
      </c>
      <c r="Q12" s="46">
        <v>214</v>
      </c>
    </row>
    <row r="13" spans="1:35" x14ac:dyDescent="0.2">
      <c r="A13" s="42" t="s">
        <v>40</v>
      </c>
      <c r="B13" s="37">
        <v>13.06</v>
      </c>
      <c r="C13" s="37">
        <v>12.15</v>
      </c>
      <c r="D13" s="37">
        <v>60.98</v>
      </c>
      <c r="E13" s="31">
        <v>111</v>
      </c>
      <c r="F13" s="31">
        <v>14.496600000000001</v>
      </c>
      <c r="G13" s="31">
        <v>13.486500000000001</v>
      </c>
      <c r="H13" s="31">
        <v>67.687799999999996</v>
      </c>
      <c r="I13" s="3">
        <v>92.57</v>
      </c>
      <c r="J13" s="3">
        <v>20</v>
      </c>
      <c r="K13" s="1" t="s">
        <v>33</v>
      </c>
      <c r="L13" t="s">
        <v>63</v>
      </c>
      <c r="M13">
        <f>LOG(E13/100,2) + 3</f>
        <v>3.1505596765753814</v>
      </c>
      <c r="N13">
        <v>4</v>
      </c>
      <c r="O13">
        <v>1</v>
      </c>
      <c r="P13">
        <v>2</v>
      </c>
      <c r="Q13" s="3">
        <v>293</v>
      </c>
      <c r="R13" s="3" t="s">
        <v>92</v>
      </c>
      <c r="S13" s="3" t="s">
        <v>97</v>
      </c>
      <c r="T13">
        <v>32</v>
      </c>
      <c r="U13">
        <v>39.299999999999997</v>
      </c>
      <c r="V13">
        <v>40</v>
      </c>
      <c r="W13">
        <v>31.3</v>
      </c>
      <c r="X13">
        <v>40</v>
      </c>
      <c r="Y13">
        <v>40</v>
      </c>
      <c r="Z13">
        <v>40</v>
      </c>
      <c r="AA13">
        <v>40</v>
      </c>
      <c r="AB13">
        <v>40</v>
      </c>
      <c r="AC13">
        <v>40</v>
      </c>
      <c r="AD13">
        <v>40</v>
      </c>
      <c r="AE13">
        <v>40</v>
      </c>
      <c r="AF13">
        <v>40</v>
      </c>
      <c r="AG13">
        <v>40</v>
      </c>
      <c r="AH13">
        <v>40</v>
      </c>
      <c r="AI13">
        <v>40</v>
      </c>
    </row>
    <row r="14" spans="1:35" x14ac:dyDescent="0.2">
      <c r="A14" s="42" t="s">
        <v>39</v>
      </c>
      <c r="B14" s="37">
        <v>10.96</v>
      </c>
      <c r="C14" s="37">
        <v>6.18</v>
      </c>
      <c r="D14" s="37">
        <v>75.209999999999994</v>
      </c>
      <c r="E14" s="31">
        <v>51</v>
      </c>
      <c r="F14" s="31">
        <v>5.5896000000000008</v>
      </c>
      <c r="G14" s="31">
        <v>3.1518000000000002</v>
      </c>
      <c r="H14" s="31">
        <v>38.357099999999996</v>
      </c>
      <c r="I14" s="3">
        <v>94.47</v>
      </c>
      <c r="J14" s="3">
        <v>20</v>
      </c>
      <c r="K14" s="1" t="s">
        <v>33</v>
      </c>
      <c r="L14" t="s">
        <v>61</v>
      </c>
      <c r="M14">
        <f>LOG(E14/100,2) + 3</f>
        <v>2.0285691521967708</v>
      </c>
      <c r="N14">
        <v>3</v>
      </c>
      <c r="O14">
        <v>1</v>
      </c>
      <c r="P14">
        <v>2</v>
      </c>
      <c r="Q14" s="3">
        <v>291</v>
      </c>
      <c r="R14" s="3" t="s">
        <v>92</v>
      </c>
      <c r="S14" s="3" t="s">
        <v>97</v>
      </c>
      <c r="T14">
        <v>33.4</v>
      </c>
      <c r="U14">
        <v>40</v>
      </c>
      <c r="V14">
        <v>40</v>
      </c>
      <c r="W14">
        <v>40</v>
      </c>
      <c r="X14">
        <v>40</v>
      </c>
      <c r="Y14">
        <v>40</v>
      </c>
      <c r="Z14">
        <v>40</v>
      </c>
      <c r="AA14">
        <v>40</v>
      </c>
      <c r="AB14">
        <v>40</v>
      </c>
      <c r="AC14">
        <v>40</v>
      </c>
      <c r="AD14">
        <v>40</v>
      </c>
      <c r="AE14">
        <v>40</v>
      </c>
      <c r="AF14">
        <v>40</v>
      </c>
      <c r="AG14">
        <v>40</v>
      </c>
      <c r="AH14">
        <v>40</v>
      </c>
      <c r="AI14">
        <v>40</v>
      </c>
    </row>
    <row r="15" spans="1:35" x14ac:dyDescent="0.2">
      <c r="A15" s="43" t="s">
        <v>46</v>
      </c>
      <c r="B15" s="37">
        <v>5.42</v>
      </c>
      <c r="C15" s="37">
        <v>5.0199999999999996</v>
      </c>
      <c r="D15" s="37">
        <v>87.52</v>
      </c>
      <c r="E15" s="24">
        <v>67</v>
      </c>
      <c r="F15" s="24">
        <v>3.6313999999999997</v>
      </c>
      <c r="G15" s="24">
        <v>3.3633999999999999</v>
      </c>
      <c r="H15" s="24">
        <v>58.638400000000004</v>
      </c>
      <c r="I15" s="3">
        <v>98.27</v>
      </c>
      <c r="J15" s="3">
        <v>20</v>
      </c>
      <c r="K15" s="1" t="s">
        <v>32</v>
      </c>
      <c r="L15" t="s">
        <v>61</v>
      </c>
      <c r="M15">
        <f>LOG(E15/100,2) + 3</f>
        <v>2.4222330006830477</v>
      </c>
      <c r="N15">
        <v>3</v>
      </c>
      <c r="O15">
        <v>1</v>
      </c>
      <c r="P15">
        <v>2</v>
      </c>
      <c r="Q15" s="3">
        <v>273</v>
      </c>
      <c r="R15" s="3" t="s">
        <v>92</v>
      </c>
      <c r="S15" s="3" t="s">
        <v>96</v>
      </c>
      <c r="T15">
        <v>40</v>
      </c>
      <c r="U15">
        <v>40</v>
      </c>
      <c r="V15">
        <v>40</v>
      </c>
      <c r="W15">
        <v>40</v>
      </c>
      <c r="X15">
        <v>38.700000000000003</v>
      </c>
      <c r="Y15">
        <v>40</v>
      </c>
      <c r="Z15">
        <v>40</v>
      </c>
      <c r="AA15">
        <v>40</v>
      </c>
      <c r="AB15">
        <v>40</v>
      </c>
      <c r="AC15">
        <v>40</v>
      </c>
      <c r="AD15">
        <v>40</v>
      </c>
      <c r="AE15">
        <v>40</v>
      </c>
      <c r="AF15">
        <v>40</v>
      </c>
      <c r="AG15">
        <v>40</v>
      </c>
      <c r="AH15">
        <v>40</v>
      </c>
      <c r="AI15">
        <v>40</v>
      </c>
    </row>
    <row r="16" spans="1:35" x14ac:dyDescent="0.2">
      <c r="A16" s="42" t="s">
        <v>37</v>
      </c>
      <c r="B16" s="37">
        <v>26.55</v>
      </c>
      <c r="C16" s="37">
        <v>14.72</v>
      </c>
      <c r="D16" s="37">
        <v>44.92</v>
      </c>
      <c r="E16" s="31">
        <v>36</v>
      </c>
      <c r="F16" s="31">
        <v>9.5579999999999998</v>
      </c>
      <c r="G16" s="31">
        <v>5.2992000000000008</v>
      </c>
      <c r="H16" s="31">
        <v>16.171200000000002</v>
      </c>
      <c r="I16" s="3">
        <v>87.55</v>
      </c>
      <c r="J16" s="3">
        <v>20</v>
      </c>
      <c r="K16" s="1" t="s">
        <v>32</v>
      </c>
      <c r="L16" t="s">
        <v>60</v>
      </c>
      <c r="M16">
        <f>LOG(E16/100,2) + 3</f>
        <v>1.5260688116675876</v>
      </c>
      <c r="N16">
        <v>2</v>
      </c>
      <c r="O16">
        <v>1</v>
      </c>
      <c r="P16">
        <v>2</v>
      </c>
      <c r="Q16" s="3">
        <v>252</v>
      </c>
      <c r="R16" s="3" t="s">
        <v>86</v>
      </c>
      <c r="S16" s="3" t="s">
        <v>96</v>
      </c>
      <c r="T16">
        <v>40</v>
      </c>
      <c r="U16">
        <v>38.799999999999997</v>
      </c>
      <c r="V16">
        <v>39.200000000000003</v>
      </c>
      <c r="W16">
        <v>40</v>
      </c>
      <c r="X16">
        <v>40</v>
      </c>
      <c r="Y16">
        <v>40</v>
      </c>
      <c r="Z16">
        <v>40</v>
      </c>
      <c r="AA16">
        <v>40</v>
      </c>
      <c r="AB16">
        <v>40</v>
      </c>
      <c r="AC16">
        <v>40</v>
      </c>
      <c r="AD16">
        <v>40</v>
      </c>
      <c r="AE16">
        <v>40</v>
      </c>
      <c r="AF16">
        <v>40</v>
      </c>
      <c r="AG16">
        <v>40</v>
      </c>
      <c r="AH16">
        <v>40</v>
      </c>
      <c r="AI16">
        <v>40</v>
      </c>
    </row>
    <row r="17" spans="1:35" x14ac:dyDescent="0.2">
      <c r="A17" s="43" t="s">
        <v>44</v>
      </c>
      <c r="B17" s="37">
        <v>7.53</v>
      </c>
      <c r="C17" s="37">
        <v>5</v>
      </c>
      <c r="D17" s="37">
        <v>83.91</v>
      </c>
      <c r="E17" s="24">
        <v>19</v>
      </c>
      <c r="F17" s="24">
        <v>1.4307000000000001</v>
      </c>
      <c r="G17" s="24">
        <v>0.95</v>
      </c>
      <c r="H17" s="24">
        <v>15.9429</v>
      </c>
      <c r="I17" s="3">
        <v>97.16</v>
      </c>
      <c r="J17" s="3">
        <v>20</v>
      </c>
      <c r="K17" s="1" t="s">
        <v>32</v>
      </c>
      <c r="L17" t="s">
        <v>58</v>
      </c>
      <c r="M17">
        <f>LOG(E17/100,2) + 3</f>
        <v>0.60407132366886085</v>
      </c>
      <c r="N17">
        <v>1</v>
      </c>
      <c r="O17">
        <v>1</v>
      </c>
      <c r="P17">
        <v>2</v>
      </c>
      <c r="Q17" s="3">
        <v>259</v>
      </c>
      <c r="R17" s="3" t="s">
        <v>86</v>
      </c>
      <c r="S17" s="3" t="s">
        <v>96</v>
      </c>
      <c r="T17">
        <v>40</v>
      </c>
      <c r="U17">
        <v>39.5</v>
      </c>
      <c r="V17">
        <v>39.5</v>
      </c>
      <c r="W17">
        <v>40</v>
      </c>
      <c r="X17">
        <v>40</v>
      </c>
      <c r="Y17">
        <v>40</v>
      </c>
      <c r="Z17">
        <v>40</v>
      </c>
      <c r="AA17">
        <v>40</v>
      </c>
      <c r="AB17">
        <v>40</v>
      </c>
      <c r="AC17">
        <v>40</v>
      </c>
      <c r="AD17">
        <v>40</v>
      </c>
      <c r="AE17">
        <v>40</v>
      </c>
      <c r="AF17">
        <v>40</v>
      </c>
      <c r="AG17">
        <v>40</v>
      </c>
      <c r="AH17">
        <v>40</v>
      </c>
      <c r="AI17">
        <v>40</v>
      </c>
    </row>
    <row r="18" spans="1:35" x14ac:dyDescent="0.2">
      <c r="A18" s="43" t="s">
        <v>45</v>
      </c>
      <c r="B18" s="37">
        <v>3.07</v>
      </c>
      <c r="C18" s="37">
        <v>0.51</v>
      </c>
      <c r="D18" s="37">
        <v>95.99</v>
      </c>
      <c r="E18" s="24">
        <v>30</v>
      </c>
      <c r="F18" s="24">
        <v>0.92099999999999993</v>
      </c>
      <c r="G18" s="24">
        <v>0.153</v>
      </c>
      <c r="H18" s="24">
        <v>28.796999999999997</v>
      </c>
      <c r="I18" s="3">
        <v>99.66</v>
      </c>
      <c r="J18" s="3">
        <v>20</v>
      </c>
      <c r="K18" s="1" t="s">
        <v>32</v>
      </c>
      <c r="L18" t="s">
        <v>59</v>
      </c>
      <c r="M18">
        <f>LOG(E18/100,2) + 3</f>
        <v>1.2630344058337937</v>
      </c>
      <c r="N18">
        <v>2</v>
      </c>
      <c r="O18">
        <v>1</v>
      </c>
      <c r="P18">
        <v>2</v>
      </c>
      <c r="Q18" s="3">
        <v>298</v>
      </c>
      <c r="R18" s="3" t="s">
        <v>86</v>
      </c>
      <c r="S18" s="3" t="s">
        <v>96</v>
      </c>
      <c r="T18">
        <v>40</v>
      </c>
      <c r="U18">
        <v>40</v>
      </c>
      <c r="V18">
        <v>40</v>
      </c>
      <c r="W18">
        <v>40</v>
      </c>
      <c r="X18">
        <v>40</v>
      </c>
      <c r="Y18">
        <v>40</v>
      </c>
      <c r="Z18">
        <v>40</v>
      </c>
      <c r="AA18">
        <v>40</v>
      </c>
      <c r="AB18">
        <v>40</v>
      </c>
      <c r="AC18">
        <v>40</v>
      </c>
      <c r="AD18">
        <v>40</v>
      </c>
      <c r="AE18">
        <v>40</v>
      </c>
      <c r="AF18">
        <v>40</v>
      </c>
      <c r="AG18">
        <v>40</v>
      </c>
      <c r="AH18">
        <v>40</v>
      </c>
      <c r="AI18">
        <v>40</v>
      </c>
    </row>
    <row r="19" spans="1:35" x14ac:dyDescent="0.2">
      <c r="A19" s="42" t="s">
        <v>38</v>
      </c>
      <c r="B19" s="37">
        <v>3.03</v>
      </c>
      <c r="C19" s="37">
        <v>1.2</v>
      </c>
      <c r="D19" s="37">
        <v>94.33</v>
      </c>
      <c r="E19" s="31">
        <v>101</v>
      </c>
      <c r="F19" s="31">
        <v>3.0602999999999998</v>
      </c>
      <c r="G19" s="31">
        <v>1.212</v>
      </c>
      <c r="H19" s="31">
        <v>95.273300000000006</v>
      </c>
      <c r="I19" s="3">
        <v>98.76</v>
      </c>
      <c r="J19" s="3">
        <v>20</v>
      </c>
      <c r="K19" s="1" t="s">
        <v>32</v>
      </c>
      <c r="L19" t="s">
        <v>63</v>
      </c>
      <c r="M19">
        <f>LOG(E19/100,2) + 3</f>
        <v>3.0143552929770703</v>
      </c>
      <c r="N19">
        <v>4</v>
      </c>
      <c r="O19">
        <v>1</v>
      </c>
      <c r="P19">
        <v>2</v>
      </c>
      <c r="Q19" s="3">
        <v>293</v>
      </c>
      <c r="R19" s="3" t="s">
        <v>86</v>
      </c>
      <c r="S19" s="3" t="s">
        <v>96</v>
      </c>
      <c r="T19">
        <v>40</v>
      </c>
      <c r="U19">
        <v>40</v>
      </c>
      <c r="V19">
        <v>40</v>
      </c>
      <c r="W19">
        <v>40</v>
      </c>
      <c r="X19">
        <v>40</v>
      </c>
      <c r="Y19">
        <v>40</v>
      </c>
      <c r="Z19">
        <v>40</v>
      </c>
      <c r="AA19">
        <v>40</v>
      </c>
      <c r="AB19">
        <v>40</v>
      </c>
      <c r="AC19">
        <v>40</v>
      </c>
      <c r="AD19">
        <v>40</v>
      </c>
      <c r="AE19">
        <v>40</v>
      </c>
      <c r="AF19">
        <v>40</v>
      </c>
      <c r="AG19">
        <v>40</v>
      </c>
      <c r="AH19">
        <v>40</v>
      </c>
      <c r="AI19">
        <v>40</v>
      </c>
    </row>
    <row r="20" spans="1:35" x14ac:dyDescent="0.2">
      <c r="A20" s="43" t="s">
        <v>17</v>
      </c>
      <c r="B20" s="33">
        <v>29.42</v>
      </c>
      <c r="C20" s="33">
        <v>18.989999999999998</v>
      </c>
      <c r="D20" s="33">
        <v>24.17</v>
      </c>
      <c r="E20" s="24">
        <v>20</v>
      </c>
      <c r="F20" s="24">
        <v>5.8840000000000012</v>
      </c>
      <c r="G20" s="24">
        <v>3.7979999999999996</v>
      </c>
      <c r="H20" s="24">
        <v>4.8340000000000005</v>
      </c>
      <c r="I20" s="24">
        <f>SUM(B20:D20)</f>
        <v>72.58</v>
      </c>
      <c r="J20" s="24">
        <v>1</v>
      </c>
      <c r="K20" s="1" t="s">
        <v>32</v>
      </c>
      <c r="L20" t="s">
        <v>58</v>
      </c>
      <c r="M20">
        <f>LOG(E20/100,2) + 3</f>
        <v>0.67807190511263782</v>
      </c>
      <c r="N20">
        <v>1</v>
      </c>
      <c r="O20">
        <v>1</v>
      </c>
      <c r="P20">
        <v>2</v>
      </c>
      <c r="Q20" s="3">
        <v>341</v>
      </c>
    </row>
    <row r="21" spans="1:35" x14ac:dyDescent="0.2">
      <c r="A21" s="40" t="s">
        <v>6</v>
      </c>
      <c r="B21" s="33">
        <v>16</v>
      </c>
      <c r="C21" s="33">
        <v>10</v>
      </c>
      <c r="D21" s="33">
        <v>60</v>
      </c>
      <c r="E21" s="24">
        <v>170</v>
      </c>
      <c r="F21" s="24">
        <v>27.2</v>
      </c>
      <c r="G21" s="24">
        <v>17</v>
      </c>
      <c r="H21" s="24">
        <v>102</v>
      </c>
      <c r="I21" s="24">
        <f>SUM(B21:D21)</f>
        <v>86</v>
      </c>
      <c r="J21" s="24">
        <v>4</v>
      </c>
      <c r="K21" s="1" t="s">
        <v>32</v>
      </c>
      <c r="L21" t="s">
        <v>63</v>
      </c>
      <c r="M21">
        <f>LOG(E21/100,2) + 3</f>
        <v>3.7655347463629769</v>
      </c>
      <c r="N21">
        <v>4</v>
      </c>
      <c r="O21">
        <v>2</v>
      </c>
      <c r="P21">
        <v>3</v>
      </c>
      <c r="Q21" s="3">
        <v>201</v>
      </c>
      <c r="R21" s="3" t="s">
        <v>94</v>
      </c>
    </row>
    <row r="22" spans="1:35" x14ac:dyDescent="0.2">
      <c r="A22" s="40" t="s">
        <v>7</v>
      </c>
      <c r="B22" s="33">
        <v>17</v>
      </c>
      <c r="C22" s="33">
        <v>5</v>
      </c>
      <c r="D22" s="33">
        <v>63</v>
      </c>
      <c r="E22" s="24">
        <v>200</v>
      </c>
      <c r="F22" s="24">
        <v>34</v>
      </c>
      <c r="G22" s="24">
        <v>10</v>
      </c>
      <c r="H22" s="24">
        <v>126</v>
      </c>
      <c r="I22" s="24">
        <f>SUM(B22:D22)</f>
        <v>85</v>
      </c>
      <c r="J22" s="24">
        <v>4</v>
      </c>
      <c r="K22" s="1" t="s">
        <v>32</v>
      </c>
      <c r="L22" s="30" t="s">
        <v>64</v>
      </c>
      <c r="M22">
        <f>LOG(E22/100,2) + 3</f>
        <v>4</v>
      </c>
      <c r="N22">
        <v>5</v>
      </c>
      <c r="O22">
        <v>2</v>
      </c>
      <c r="P22">
        <v>3</v>
      </c>
      <c r="Q22" s="3">
        <v>199</v>
      </c>
      <c r="R22" s="3" t="s">
        <v>94</v>
      </c>
    </row>
    <row r="23" spans="1:35" x14ac:dyDescent="0.2">
      <c r="A23" s="40" t="s">
        <v>48</v>
      </c>
      <c r="B23" s="37">
        <v>8.65</v>
      </c>
      <c r="C23" s="37">
        <v>15.47</v>
      </c>
      <c r="D23" s="37">
        <v>72.290000000000006</v>
      </c>
      <c r="E23" s="24">
        <v>118</v>
      </c>
      <c r="F23" s="24">
        <v>10.207000000000001</v>
      </c>
      <c r="G23" s="24">
        <v>18.2546</v>
      </c>
      <c r="H23" s="24">
        <v>85.302200000000013</v>
      </c>
      <c r="I23" s="3">
        <v>97.070000000000007</v>
      </c>
      <c r="J23" s="3">
        <v>20</v>
      </c>
      <c r="K23" s="1" t="s">
        <v>32</v>
      </c>
      <c r="L23" t="s">
        <v>63</v>
      </c>
      <c r="M23">
        <f>LOG(E23/100,2) + 3</f>
        <v>3.2387868595871163</v>
      </c>
      <c r="N23">
        <v>4</v>
      </c>
      <c r="O23">
        <v>2</v>
      </c>
      <c r="P23">
        <v>3</v>
      </c>
      <c r="Q23" s="3">
        <v>316</v>
      </c>
      <c r="R23" s="3" t="s">
        <v>92</v>
      </c>
      <c r="S23" s="3" t="s">
        <v>97</v>
      </c>
      <c r="T23">
        <v>31.1</v>
      </c>
      <c r="U23">
        <v>36.4</v>
      </c>
      <c r="V23">
        <v>39</v>
      </c>
      <c r="W23">
        <v>40</v>
      </c>
      <c r="X23">
        <v>40</v>
      </c>
      <c r="Y23">
        <v>40</v>
      </c>
      <c r="Z23">
        <v>40</v>
      </c>
      <c r="AA23">
        <v>40</v>
      </c>
      <c r="AB23">
        <v>40</v>
      </c>
      <c r="AC23">
        <v>40</v>
      </c>
      <c r="AD23">
        <v>40</v>
      </c>
      <c r="AE23">
        <v>40</v>
      </c>
      <c r="AF23">
        <v>40</v>
      </c>
      <c r="AG23">
        <v>40</v>
      </c>
      <c r="AH23">
        <v>40</v>
      </c>
      <c r="AI23">
        <v>40</v>
      </c>
    </row>
    <row r="24" spans="1:35" x14ac:dyDescent="0.2">
      <c r="A24" s="40" t="s">
        <v>8</v>
      </c>
      <c r="B24" s="33">
        <v>8</v>
      </c>
      <c r="C24" s="33">
        <v>4</v>
      </c>
      <c r="D24" s="33">
        <v>79</v>
      </c>
      <c r="E24" s="24">
        <v>389</v>
      </c>
      <c r="F24" s="24">
        <v>31.12</v>
      </c>
      <c r="G24" s="24">
        <v>15.56</v>
      </c>
      <c r="H24" s="24">
        <v>307.31</v>
      </c>
      <c r="I24" s="24">
        <f>SUM(B24:D24)</f>
        <v>91</v>
      </c>
      <c r="J24" s="24">
        <v>4</v>
      </c>
      <c r="K24" s="1" t="s">
        <v>32</v>
      </c>
      <c r="L24" s="30" t="s">
        <v>64</v>
      </c>
      <c r="M24">
        <f>LOG(E24/100,2) + 3</f>
        <v>4.9597701552114675</v>
      </c>
      <c r="N24">
        <v>5</v>
      </c>
      <c r="O24">
        <v>2</v>
      </c>
      <c r="P24">
        <v>3</v>
      </c>
      <c r="Q24" s="3">
        <v>193</v>
      </c>
      <c r="R24" s="3" t="s">
        <v>92</v>
      </c>
    </row>
    <row r="25" spans="1:35" x14ac:dyDescent="0.2">
      <c r="A25" s="41" t="s">
        <v>36</v>
      </c>
      <c r="B25" s="37">
        <v>13.53</v>
      </c>
      <c r="C25" s="37">
        <v>48.03</v>
      </c>
      <c r="D25" s="37">
        <v>26.02</v>
      </c>
      <c r="E25" s="31">
        <v>63</v>
      </c>
      <c r="F25" s="31">
        <v>8.5238999999999994</v>
      </c>
      <c r="G25" s="31">
        <v>30.258899999999997</v>
      </c>
      <c r="H25" s="31">
        <v>16.392600000000002</v>
      </c>
      <c r="I25" s="3">
        <v>92.34</v>
      </c>
      <c r="J25" s="3">
        <v>20</v>
      </c>
      <c r="K25" s="1" t="s">
        <v>32</v>
      </c>
      <c r="L25" t="s">
        <v>61</v>
      </c>
      <c r="M25">
        <f>LOG(E25/100,2) + 3</f>
        <v>2.3334237337251915</v>
      </c>
      <c r="N25">
        <v>3</v>
      </c>
      <c r="O25">
        <v>2</v>
      </c>
      <c r="P25">
        <v>3</v>
      </c>
      <c r="Q25" s="3">
        <v>282</v>
      </c>
      <c r="R25" s="3" t="s">
        <v>92</v>
      </c>
      <c r="S25" s="3" t="s">
        <v>96</v>
      </c>
      <c r="T25">
        <v>40</v>
      </c>
      <c r="U25">
        <v>39.1</v>
      </c>
      <c r="V25">
        <v>40</v>
      </c>
      <c r="W25">
        <v>40</v>
      </c>
      <c r="X25">
        <v>38.299999999999997</v>
      </c>
      <c r="Y25">
        <v>40</v>
      </c>
      <c r="Z25">
        <v>40</v>
      </c>
      <c r="AA25">
        <v>40</v>
      </c>
      <c r="AB25">
        <v>40</v>
      </c>
      <c r="AC25">
        <v>40</v>
      </c>
      <c r="AD25">
        <v>40</v>
      </c>
      <c r="AE25">
        <v>40</v>
      </c>
      <c r="AF25">
        <v>40</v>
      </c>
      <c r="AG25">
        <v>40</v>
      </c>
      <c r="AH25">
        <v>40</v>
      </c>
      <c r="AI25">
        <v>40</v>
      </c>
    </row>
    <row r="26" spans="1:35" x14ac:dyDescent="0.2">
      <c r="A26" s="40" t="s">
        <v>11</v>
      </c>
      <c r="B26" s="33">
        <v>32.630000000000003</v>
      </c>
      <c r="C26" s="33">
        <v>26.01</v>
      </c>
      <c r="D26" s="33">
        <v>16.309999999999999</v>
      </c>
      <c r="E26" s="24">
        <v>107</v>
      </c>
      <c r="F26" s="24">
        <v>34.914100000000005</v>
      </c>
      <c r="G26" s="24">
        <v>27.8307</v>
      </c>
      <c r="H26" s="24">
        <v>17.451699999999999</v>
      </c>
      <c r="I26" s="24">
        <f>SUM(B26:D26)</f>
        <v>74.95</v>
      </c>
      <c r="J26" s="24">
        <v>6</v>
      </c>
      <c r="K26" s="1" t="s">
        <v>32</v>
      </c>
      <c r="L26" t="s">
        <v>63</v>
      </c>
      <c r="M26">
        <f>LOG(E26/100,2) + 3</f>
        <v>3.0976107966264221</v>
      </c>
      <c r="N26">
        <v>4</v>
      </c>
      <c r="O26">
        <v>2</v>
      </c>
      <c r="P26">
        <v>3</v>
      </c>
      <c r="Q26" s="3">
        <v>249</v>
      </c>
      <c r="R26" s="3" t="s">
        <v>86</v>
      </c>
    </row>
    <row r="27" spans="1:35" x14ac:dyDescent="0.2">
      <c r="A27" s="40" t="s">
        <v>52</v>
      </c>
      <c r="B27" s="37">
        <v>8.4499999999999993</v>
      </c>
      <c r="C27" s="37">
        <v>55.82</v>
      </c>
      <c r="D27" s="37">
        <v>19.16</v>
      </c>
      <c r="E27" s="24">
        <v>83</v>
      </c>
      <c r="F27" s="24">
        <v>7.0134999999999987</v>
      </c>
      <c r="G27" s="24">
        <v>46.330600000000004</v>
      </c>
      <c r="H27" s="24">
        <v>15.902799999999999</v>
      </c>
      <c r="I27" s="3">
        <v>90.830000000000013</v>
      </c>
      <c r="J27" s="3">
        <v>20</v>
      </c>
      <c r="K27" s="1" t="s">
        <v>33</v>
      </c>
      <c r="L27" t="s">
        <v>62</v>
      </c>
      <c r="M27">
        <f>LOG(E27/100,2) + 3</f>
        <v>2.7311832415722002</v>
      </c>
      <c r="N27">
        <v>3</v>
      </c>
      <c r="O27">
        <v>2</v>
      </c>
      <c r="P27">
        <v>3</v>
      </c>
      <c r="Q27" s="3">
        <v>269</v>
      </c>
      <c r="R27" s="3" t="s">
        <v>86</v>
      </c>
      <c r="S27" s="3" t="s">
        <v>96</v>
      </c>
      <c r="T27">
        <v>40</v>
      </c>
      <c r="U27">
        <v>40</v>
      </c>
      <c r="V27">
        <v>40</v>
      </c>
      <c r="W27">
        <v>40</v>
      </c>
      <c r="X27">
        <v>40</v>
      </c>
      <c r="Y27">
        <v>40</v>
      </c>
      <c r="Z27">
        <v>40</v>
      </c>
      <c r="AA27">
        <v>40</v>
      </c>
      <c r="AB27">
        <v>40</v>
      </c>
      <c r="AC27">
        <v>40</v>
      </c>
      <c r="AD27">
        <v>40</v>
      </c>
      <c r="AE27">
        <v>40</v>
      </c>
      <c r="AF27">
        <v>40</v>
      </c>
      <c r="AG27">
        <v>40</v>
      </c>
      <c r="AH27">
        <v>40</v>
      </c>
      <c r="AI27">
        <v>40</v>
      </c>
    </row>
    <row r="28" spans="1:35" x14ac:dyDescent="0.2">
      <c r="A28" s="41" t="s">
        <v>42</v>
      </c>
      <c r="B28" s="37">
        <v>5.8</v>
      </c>
      <c r="C28" s="37">
        <v>36.58</v>
      </c>
      <c r="D28" s="37">
        <v>50.96</v>
      </c>
      <c r="E28" s="31">
        <v>155</v>
      </c>
      <c r="F28" s="31">
        <v>8.99</v>
      </c>
      <c r="G28" s="31">
        <v>56.698999999999998</v>
      </c>
      <c r="H28" s="31">
        <v>78.988</v>
      </c>
      <c r="I28" s="3">
        <v>93.81</v>
      </c>
      <c r="J28" s="3">
        <v>20</v>
      </c>
      <c r="K28" s="1" t="s">
        <v>33</v>
      </c>
      <c r="L28" t="s">
        <v>63</v>
      </c>
      <c r="M28">
        <f>LOG(E28/100,2) + 3</f>
        <v>3.6322682154995132</v>
      </c>
      <c r="N28">
        <v>4</v>
      </c>
      <c r="O28">
        <v>2</v>
      </c>
      <c r="P28">
        <v>3</v>
      </c>
      <c r="Q28" s="3">
        <v>307</v>
      </c>
      <c r="R28" s="3" t="s">
        <v>86</v>
      </c>
      <c r="S28" s="3" t="s">
        <v>96</v>
      </c>
      <c r="T28">
        <v>40</v>
      </c>
      <c r="U28">
        <v>39.5</v>
      </c>
      <c r="V28">
        <v>40</v>
      </c>
      <c r="W28">
        <v>40</v>
      </c>
      <c r="X28">
        <v>40</v>
      </c>
      <c r="Y28">
        <v>40</v>
      </c>
      <c r="Z28">
        <v>40</v>
      </c>
      <c r="AA28">
        <v>40</v>
      </c>
      <c r="AB28">
        <v>40</v>
      </c>
      <c r="AC28">
        <v>40</v>
      </c>
      <c r="AD28">
        <v>40</v>
      </c>
      <c r="AE28">
        <v>40</v>
      </c>
      <c r="AF28">
        <v>40</v>
      </c>
      <c r="AG28">
        <v>40</v>
      </c>
      <c r="AH28">
        <v>40</v>
      </c>
      <c r="AI28">
        <v>40</v>
      </c>
    </row>
    <row r="29" spans="1:35" x14ac:dyDescent="0.2">
      <c r="A29" s="40" t="s">
        <v>21</v>
      </c>
      <c r="B29" s="33">
        <v>63.93</v>
      </c>
      <c r="C29" s="33">
        <v>6.72</v>
      </c>
      <c r="D29" s="33">
        <v>8.5</v>
      </c>
      <c r="E29" s="24">
        <v>90</v>
      </c>
      <c r="F29" s="24">
        <v>57.536999999999999</v>
      </c>
      <c r="G29" s="24">
        <v>6.0479999999999992</v>
      </c>
      <c r="H29" s="24">
        <v>7.65</v>
      </c>
      <c r="I29" s="24">
        <f>SUM(B29:D29)</f>
        <v>79.150000000000006</v>
      </c>
      <c r="J29" s="24">
        <v>1</v>
      </c>
      <c r="K29" s="1" t="s">
        <v>32</v>
      </c>
      <c r="L29" t="s">
        <v>62</v>
      </c>
      <c r="M29">
        <f>LOG(E29/100,2) + 3</f>
        <v>2.84799690655495</v>
      </c>
      <c r="N29">
        <v>3</v>
      </c>
      <c r="O29">
        <v>2</v>
      </c>
      <c r="P29">
        <v>3</v>
      </c>
      <c r="Q29" s="3">
        <v>276</v>
      </c>
    </row>
    <row r="30" spans="1:35" x14ac:dyDescent="0.2">
      <c r="A30" s="44" t="s">
        <v>53</v>
      </c>
      <c r="B30" s="37">
        <v>4.68</v>
      </c>
      <c r="C30" s="37">
        <v>2.29</v>
      </c>
      <c r="D30" s="37">
        <v>85.67</v>
      </c>
      <c r="E30" s="24">
        <v>224</v>
      </c>
      <c r="F30" s="24">
        <v>10.4832</v>
      </c>
      <c r="G30" s="24">
        <v>5.1295999999999999</v>
      </c>
      <c r="H30" s="24">
        <v>191.9008</v>
      </c>
      <c r="I30" s="3">
        <v>97.88</v>
      </c>
      <c r="J30" s="3">
        <v>20</v>
      </c>
      <c r="K30" s="1" t="s">
        <v>33</v>
      </c>
      <c r="L30" s="30" t="s">
        <v>64</v>
      </c>
      <c r="M30">
        <f>LOG(E30/100,2) + 3</f>
        <v>4.1634987322828794</v>
      </c>
      <c r="N30">
        <v>5</v>
      </c>
      <c r="O30">
        <v>3</v>
      </c>
      <c r="P30">
        <v>4</v>
      </c>
      <c r="Q30" s="3">
        <v>223</v>
      </c>
      <c r="R30" s="3" t="s">
        <v>92</v>
      </c>
      <c r="S30" s="3" t="s">
        <v>97</v>
      </c>
      <c r="T30">
        <v>32.200000000000003</v>
      </c>
      <c r="U30">
        <v>39.200000000000003</v>
      </c>
      <c r="V30">
        <v>40</v>
      </c>
      <c r="W30">
        <v>40</v>
      </c>
      <c r="X30">
        <v>40</v>
      </c>
      <c r="Y30">
        <v>40</v>
      </c>
      <c r="Z30">
        <v>40</v>
      </c>
      <c r="AA30">
        <v>40</v>
      </c>
      <c r="AB30">
        <v>40</v>
      </c>
      <c r="AC30">
        <v>40</v>
      </c>
      <c r="AD30">
        <v>40</v>
      </c>
      <c r="AE30">
        <v>40</v>
      </c>
      <c r="AF30">
        <v>40</v>
      </c>
      <c r="AG30">
        <v>40</v>
      </c>
      <c r="AH30">
        <v>40</v>
      </c>
      <c r="AI30">
        <v>40</v>
      </c>
    </row>
    <row r="31" spans="1:35" x14ac:dyDescent="0.2">
      <c r="A31" s="45" t="s">
        <v>41</v>
      </c>
      <c r="B31" s="37">
        <v>9.68</v>
      </c>
      <c r="C31" s="37">
        <v>4.0599999999999996</v>
      </c>
      <c r="D31" s="37">
        <v>75.760000000000005</v>
      </c>
      <c r="E31" s="31">
        <v>277</v>
      </c>
      <c r="F31" s="31">
        <v>26.813600000000001</v>
      </c>
      <c r="G31" s="31">
        <v>11.246199999999998</v>
      </c>
      <c r="H31" s="31">
        <v>209.8552</v>
      </c>
      <c r="I31" s="3">
        <v>95.46</v>
      </c>
      <c r="J31" s="3">
        <v>20</v>
      </c>
      <c r="K31" s="1" t="s">
        <v>33</v>
      </c>
      <c r="L31" s="30" t="s">
        <v>64</v>
      </c>
      <c r="M31">
        <f>LOG(E31/100,2) + 3</f>
        <v>4.4698859762744636</v>
      </c>
      <c r="N31">
        <v>5</v>
      </c>
      <c r="O31">
        <v>3</v>
      </c>
      <c r="P31">
        <v>4</v>
      </c>
      <c r="Q31" s="3">
        <v>212</v>
      </c>
      <c r="R31" s="3" t="s">
        <v>92</v>
      </c>
      <c r="S31" s="3" t="s">
        <v>97</v>
      </c>
      <c r="T31">
        <v>33.6</v>
      </c>
      <c r="U31">
        <v>39.1</v>
      </c>
      <c r="V31">
        <v>40</v>
      </c>
      <c r="W31">
        <v>40</v>
      </c>
      <c r="X31">
        <v>40</v>
      </c>
      <c r="Y31">
        <v>40</v>
      </c>
      <c r="Z31">
        <v>40</v>
      </c>
      <c r="AA31">
        <v>40</v>
      </c>
      <c r="AB31">
        <v>40</v>
      </c>
      <c r="AC31">
        <v>40</v>
      </c>
      <c r="AD31">
        <v>40</v>
      </c>
      <c r="AE31">
        <v>40</v>
      </c>
      <c r="AF31">
        <v>40</v>
      </c>
      <c r="AG31">
        <v>40</v>
      </c>
      <c r="AH31">
        <v>40</v>
      </c>
      <c r="AI31">
        <v>40</v>
      </c>
    </row>
    <row r="32" spans="1:35" x14ac:dyDescent="0.2">
      <c r="A32" s="44" t="s">
        <v>24</v>
      </c>
      <c r="B32" s="33">
        <v>14.94</v>
      </c>
      <c r="C32" s="33">
        <v>3.31</v>
      </c>
      <c r="D32" s="33">
        <v>71.930000000000007</v>
      </c>
      <c r="E32" s="24">
        <v>470</v>
      </c>
      <c r="F32" s="24">
        <v>70.218000000000004</v>
      </c>
      <c r="G32" s="24">
        <v>15.557</v>
      </c>
      <c r="H32" s="24">
        <v>338.07100000000008</v>
      </c>
      <c r="I32" s="24">
        <f>SUM(B32:D32)</f>
        <v>90.18</v>
      </c>
      <c r="J32" s="24">
        <v>1</v>
      </c>
      <c r="K32" s="1" t="s">
        <v>32</v>
      </c>
      <c r="L32" t="s">
        <v>65</v>
      </c>
      <c r="M32">
        <f>LOG(E32/100,2) + 3</f>
        <v>5.232660756790275</v>
      </c>
      <c r="N32">
        <v>6</v>
      </c>
      <c r="O32">
        <v>3</v>
      </c>
      <c r="P32">
        <v>4</v>
      </c>
      <c r="Q32" s="3">
        <v>341</v>
      </c>
      <c r="R32" s="3" t="s">
        <v>92</v>
      </c>
    </row>
    <row r="33" spans="1:35" x14ac:dyDescent="0.2">
      <c r="A33" s="44" t="s">
        <v>23</v>
      </c>
      <c r="B33" s="33">
        <v>49.39</v>
      </c>
      <c r="C33" s="33">
        <v>6.48</v>
      </c>
      <c r="D33" s="33">
        <v>25.23</v>
      </c>
      <c r="E33" s="24">
        <v>305</v>
      </c>
      <c r="F33" s="24">
        <v>150.6395</v>
      </c>
      <c r="G33" s="24">
        <v>19.763999999999999</v>
      </c>
      <c r="H33" s="24">
        <v>76.95150000000001</v>
      </c>
      <c r="I33" s="24">
        <f>SUM(B33:D33)</f>
        <v>81.100000000000009</v>
      </c>
      <c r="J33" s="24">
        <v>1</v>
      </c>
      <c r="K33" s="1" t="s">
        <v>32</v>
      </c>
      <c r="L33" s="30" t="s">
        <v>64</v>
      </c>
      <c r="M33">
        <f>LOG(E33/100,2) + 3</f>
        <v>4.6088092426755241</v>
      </c>
      <c r="N33">
        <v>5</v>
      </c>
      <c r="O33">
        <v>3</v>
      </c>
      <c r="P33">
        <v>4</v>
      </c>
      <c r="Q33" s="3">
        <v>276</v>
      </c>
      <c r="R33" s="3" t="s">
        <v>92</v>
      </c>
    </row>
    <row r="34" spans="1:35" x14ac:dyDescent="0.2">
      <c r="A34" s="44" t="s">
        <v>26</v>
      </c>
      <c r="B34" s="33">
        <v>3.9</v>
      </c>
      <c r="C34" s="33">
        <v>1.05</v>
      </c>
      <c r="D34" s="33">
        <v>89.71</v>
      </c>
      <c r="E34" s="24">
        <v>3231</v>
      </c>
      <c r="F34" s="24">
        <v>126.009</v>
      </c>
      <c r="G34" s="24">
        <v>33.9255</v>
      </c>
      <c r="H34" s="24">
        <v>2898.5300999999995</v>
      </c>
      <c r="I34" s="24">
        <f>SUM(B34:D34)</f>
        <v>94.66</v>
      </c>
      <c r="J34" s="24">
        <v>1</v>
      </c>
      <c r="K34" s="1" t="s">
        <v>32</v>
      </c>
      <c r="L34" t="s">
        <v>65</v>
      </c>
      <c r="M34">
        <f>LOG(E34/100,2) + 3</f>
        <v>8.01390884549064</v>
      </c>
      <c r="N34">
        <v>9</v>
      </c>
      <c r="O34">
        <v>3</v>
      </c>
      <c r="P34">
        <v>4</v>
      </c>
      <c r="Q34" s="3">
        <v>284</v>
      </c>
      <c r="R34" s="3" t="s">
        <v>92</v>
      </c>
    </row>
    <row r="35" spans="1:35" x14ac:dyDescent="0.2">
      <c r="A35" s="44" t="s">
        <v>13</v>
      </c>
      <c r="B35" s="33">
        <v>5.73</v>
      </c>
      <c r="C35" s="33">
        <v>1.0900000000000001</v>
      </c>
      <c r="D35" s="33">
        <v>90.62</v>
      </c>
      <c r="E35" s="24">
        <v>956</v>
      </c>
      <c r="F35" s="24">
        <v>54.778800000000004</v>
      </c>
      <c r="G35" s="24">
        <v>10.420399999999999</v>
      </c>
      <c r="H35" s="24">
        <v>866.32720000000006</v>
      </c>
      <c r="I35" s="24">
        <f>SUM(B35:D35)</f>
        <v>97.44</v>
      </c>
      <c r="J35" s="24">
        <v>6</v>
      </c>
      <c r="K35" s="1" t="s">
        <v>32</v>
      </c>
      <c r="L35" t="s">
        <v>65</v>
      </c>
      <c r="M35">
        <f>LOG(E35/100,2) + 3</f>
        <v>6.2570106182060243</v>
      </c>
      <c r="N35">
        <v>7</v>
      </c>
      <c r="O35">
        <v>3</v>
      </c>
      <c r="P35">
        <v>4</v>
      </c>
      <c r="Q35" s="3">
        <v>213</v>
      </c>
      <c r="R35" s="3" t="s">
        <v>92</v>
      </c>
    </row>
    <row r="36" spans="1:35" x14ac:dyDescent="0.2">
      <c r="A36" s="45" t="s">
        <v>35</v>
      </c>
      <c r="B36" s="37">
        <v>6.2</v>
      </c>
      <c r="C36" s="37">
        <v>8.1999999999999993</v>
      </c>
      <c r="D36" s="37">
        <v>75.069999999999993</v>
      </c>
      <c r="E36" s="31">
        <v>127</v>
      </c>
      <c r="F36" s="31">
        <v>7.8739999999999997</v>
      </c>
      <c r="G36" s="31">
        <v>10.413999999999998</v>
      </c>
      <c r="H36" s="31">
        <v>95.338899999999995</v>
      </c>
      <c r="I36" s="3">
        <v>95.94</v>
      </c>
      <c r="J36" s="3">
        <v>20</v>
      </c>
      <c r="K36" s="1" t="s">
        <v>32</v>
      </c>
      <c r="L36" t="s">
        <v>63</v>
      </c>
      <c r="M36">
        <f>LOG(E36/100,2) + 3</f>
        <v>3.3448284969974411</v>
      </c>
      <c r="N36">
        <v>4</v>
      </c>
      <c r="O36">
        <v>3</v>
      </c>
      <c r="P36">
        <v>4</v>
      </c>
      <c r="Q36" s="3">
        <v>271</v>
      </c>
      <c r="R36" s="3" t="s">
        <v>92</v>
      </c>
      <c r="S36" s="3" t="s">
        <v>97</v>
      </c>
      <c r="T36">
        <v>31</v>
      </c>
      <c r="U36">
        <v>37.799999999999997</v>
      </c>
      <c r="V36">
        <v>40</v>
      </c>
      <c r="W36">
        <v>35.9</v>
      </c>
      <c r="X36">
        <v>40</v>
      </c>
      <c r="Y36">
        <v>40</v>
      </c>
      <c r="Z36">
        <v>40</v>
      </c>
      <c r="AA36">
        <v>40</v>
      </c>
      <c r="AB36">
        <v>40</v>
      </c>
      <c r="AC36">
        <v>40</v>
      </c>
      <c r="AD36">
        <v>40</v>
      </c>
      <c r="AE36">
        <v>40</v>
      </c>
      <c r="AF36">
        <v>40</v>
      </c>
      <c r="AG36">
        <v>40</v>
      </c>
      <c r="AH36">
        <v>40</v>
      </c>
      <c r="AI36">
        <v>40</v>
      </c>
    </row>
    <row r="37" spans="1:35" x14ac:dyDescent="0.2">
      <c r="A37" s="45" t="s">
        <v>34</v>
      </c>
      <c r="B37" s="37">
        <v>6.67</v>
      </c>
      <c r="C37" s="37">
        <v>1.31</v>
      </c>
      <c r="D37" s="37">
        <v>87.78</v>
      </c>
      <c r="E37" s="31">
        <v>506</v>
      </c>
      <c r="F37" s="31">
        <v>33.7502</v>
      </c>
      <c r="G37" s="31">
        <v>6.6286000000000005</v>
      </c>
      <c r="H37" s="31">
        <v>444.16680000000002</v>
      </c>
      <c r="I37" s="3">
        <v>97.06</v>
      </c>
      <c r="J37" s="3">
        <v>20</v>
      </c>
      <c r="K37" s="1" t="s">
        <v>32</v>
      </c>
      <c r="L37" t="s">
        <v>65</v>
      </c>
      <c r="M37">
        <f>LOG(E37/100,2) + 3</f>
        <v>5.3391373849195851</v>
      </c>
      <c r="N37">
        <v>6</v>
      </c>
      <c r="O37">
        <v>3</v>
      </c>
      <c r="P37">
        <v>4</v>
      </c>
      <c r="Q37" s="3">
        <v>296</v>
      </c>
      <c r="R37" s="3" t="s">
        <v>92</v>
      </c>
      <c r="S37" s="3" t="s">
        <v>97</v>
      </c>
      <c r="T37">
        <v>31.1</v>
      </c>
      <c r="U37">
        <v>38.700000000000003</v>
      </c>
      <c r="V37">
        <v>40</v>
      </c>
      <c r="W37">
        <v>29</v>
      </c>
      <c r="X37">
        <v>40</v>
      </c>
      <c r="Y37">
        <v>40</v>
      </c>
      <c r="Z37">
        <v>40</v>
      </c>
      <c r="AA37">
        <v>40</v>
      </c>
      <c r="AB37">
        <v>40</v>
      </c>
      <c r="AC37">
        <v>40</v>
      </c>
      <c r="AD37">
        <v>40</v>
      </c>
      <c r="AE37">
        <v>40</v>
      </c>
      <c r="AF37">
        <v>40</v>
      </c>
      <c r="AG37">
        <v>40</v>
      </c>
      <c r="AH37">
        <v>40</v>
      </c>
      <c r="AI37">
        <v>40</v>
      </c>
    </row>
    <row r="38" spans="1:35" x14ac:dyDescent="0.2">
      <c r="A38" s="44" t="s">
        <v>14</v>
      </c>
      <c r="B38" s="33">
        <v>3.58</v>
      </c>
      <c r="C38" s="33">
        <v>4.1900000000000004</v>
      </c>
      <c r="D38" s="33">
        <v>89.08</v>
      </c>
      <c r="E38" s="24">
        <v>3603</v>
      </c>
      <c r="F38" s="24">
        <v>128.98740000000001</v>
      </c>
      <c r="G38" s="24">
        <v>150.96570000000003</v>
      </c>
      <c r="H38" s="24">
        <v>3209.5524</v>
      </c>
      <c r="I38" s="24">
        <f>SUM(B38:D38)</f>
        <v>96.85</v>
      </c>
      <c r="J38" s="24">
        <v>6</v>
      </c>
      <c r="K38" s="1" t="s">
        <v>32</v>
      </c>
      <c r="L38" t="s">
        <v>65</v>
      </c>
      <c r="M38">
        <f>LOG(E38/100,2) + 3</f>
        <v>8.1711267466520656</v>
      </c>
      <c r="N38">
        <v>9</v>
      </c>
      <c r="O38">
        <v>3</v>
      </c>
      <c r="P38">
        <v>4</v>
      </c>
      <c r="Q38" s="3">
        <v>35</v>
      </c>
      <c r="R38" s="3" t="s">
        <v>86</v>
      </c>
    </row>
    <row r="39" spans="1:35" x14ac:dyDescent="0.2">
      <c r="A39" s="44" t="s">
        <v>25</v>
      </c>
      <c r="B39" s="33">
        <v>9.92</v>
      </c>
      <c r="C39" s="33">
        <v>1.91</v>
      </c>
      <c r="D39" s="33">
        <v>70.989999999999995</v>
      </c>
      <c r="E39" s="24">
        <v>976</v>
      </c>
      <c r="F39" s="24">
        <v>96.819199999999995</v>
      </c>
      <c r="G39" s="24">
        <v>18.641599999999997</v>
      </c>
      <c r="H39" s="24">
        <v>692.86239999999987</v>
      </c>
      <c r="I39" s="24">
        <f>SUM(B39:D39)</f>
        <v>82.82</v>
      </c>
      <c r="J39" s="24">
        <v>1</v>
      </c>
      <c r="K39" s="1" t="s">
        <v>32</v>
      </c>
      <c r="L39" t="s">
        <v>65</v>
      </c>
      <c r="M39">
        <f>LOG(E39/100,2) + 3</f>
        <v>6.2868811477881614</v>
      </c>
      <c r="N39">
        <v>7</v>
      </c>
      <c r="O39">
        <v>3</v>
      </c>
      <c r="P39">
        <v>4</v>
      </c>
      <c r="Q39" s="3">
        <v>153</v>
      </c>
    </row>
    <row r="40" spans="1:35" x14ac:dyDescent="0.2">
      <c r="A40" s="1" t="s">
        <v>12</v>
      </c>
      <c r="B40" s="33">
        <v>15.69</v>
      </c>
      <c r="C40" s="33">
        <v>45.36</v>
      </c>
      <c r="D40" s="33">
        <v>26.77</v>
      </c>
      <c r="E40" s="24">
        <v>186</v>
      </c>
      <c r="F40" s="24">
        <v>29.183399999999995</v>
      </c>
      <c r="G40" s="24">
        <v>84.369599999999991</v>
      </c>
      <c r="H40" s="24">
        <v>49.792200000000001</v>
      </c>
      <c r="I40" s="24">
        <f>SUM(B40:D40)</f>
        <v>87.82</v>
      </c>
      <c r="J40" s="24">
        <v>6</v>
      </c>
      <c r="K40" s="1" t="s">
        <v>32</v>
      </c>
      <c r="L40" t="s">
        <v>63</v>
      </c>
      <c r="M40">
        <f>LOG(E40/100,2) + 3</f>
        <v>3.8953026213333066</v>
      </c>
      <c r="N40">
        <v>4</v>
      </c>
      <c r="P40" s="32"/>
      <c r="Q40" s="3">
        <v>216</v>
      </c>
      <c r="R40" s="3" t="s">
        <v>94</v>
      </c>
    </row>
    <row r="41" spans="1:35" x14ac:dyDescent="0.2">
      <c r="A41" s="1" t="s">
        <v>19</v>
      </c>
      <c r="B41" s="33">
        <v>10.99</v>
      </c>
      <c r="C41" s="33">
        <v>47.19</v>
      </c>
      <c r="D41" s="33">
        <v>21.41</v>
      </c>
      <c r="E41" s="24">
        <v>37</v>
      </c>
      <c r="F41" s="24">
        <v>4.0663</v>
      </c>
      <c r="G41" s="24">
        <v>17.4603</v>
      </c>
      <c r="H41" s="24">
        <v>7.9216999999999995</v>
      </c>
      <c r="I41" s="24">
        <f>SUM(B41:D41)</f>
        <v>79.59</v>
      </c>
      <c r="J41" s="24">
        <v>1</v>
      </c>
      <c r="K41" s="1" t="s">
        <v>32</v>
      </c>
      <c r="L41" t="s">
        <v>60</v>
      </c>
      <c r="M41">
        <f>LOG(E41/100,2) + 3</f>
        <v>1.5655971758542251</v>
      </c>
      <c r="N41">
        <v>2</v>
      </c>
      <c r="P41" s="32"/>
      <c r="Q41" s="46">
        <v>153</v>
      </c>
      <c r="R41" s="3" t="s">
        <v>92</v>
      </c>
    </row>
  </sheetData>
  <autoFilter ref="A1:AK1" xr:uid="{B89FC19D-FF27-9843-A457-CECB12E2CD06}">
    <sortState xmlns:xlrd2="http://schemas.microsoft.com/office/spreadsheetml/2017/richdata2" ref="A2:AI41">
      <sortCondition ref="P1:P41"/>
    </sortState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2A5C7-7F5F-1B4F-B842-41439628B849}">
  <dimension ref="A1:AG21"/>
  <sheetViews>
    <sheetView workbookViewId="0">
      <selection sqref="A1:AG21"/>
    </sheetView>
  </sheetViews>
  <sheetFormatPr baseColWidth="10" defaultRowHeight="16" x14ac:dyDescent="0.2"/>
  <cols>
    <col min="1" max="1" width="17.83203125" customWidth="1"/>
    <col min="2" max="14" width="0" hidden="1" customWidth="1"/>
    <col min="15" max="15" width="10.6640625" hidden="1" customWidth="1"/>
    <col min="16" max="16" width="10.83203125" hidden="1" customWidth="1"/>
    <col min="17" max="17" width="10.83203125" customWidth="1"/>
  </cols>
  <sheetData>
    <row r="1" spans="1:33" x14ac:dyDescent="0.2">
      <c r="A1" t="s">
        <v>4</v>
      </c>
      <c r="B1" s="34" t="s">
        <v>1</v>
      </c>
      <c r="C1" s="34" t="s">
        <v>2</v>
      </c>
      <c r="D1" s="34" t="s">
        <v>0</v>
      </c>
      <c r="E1" s="35" t="s">
        <v>3</v>
      </c>
      <c r="F1" s="35" t="s">
        <v>87</v>
      </c>
      <c r="G1" s="35" t="s">
        <v>88</v>
      </c>
      <c r="H1" s="35" t="s">
        <v>89</v>
      </c>
      <c r="I1" s="35" t="s">
        <v>15</v>
      </c>
      <c r="J1" s="35" t="s">
        <v>16</v>
      </c>
      <c r="K1" t="s">
        <v>31</v>
      </c>
      <c r="L1" s="35" t="s">
        <v>66</v>
      </c>
      <c r="M1" s="35" t="s">
        <v>67</v>
      </c>
      <c r="N1" s="35" t="s">
        <v>68</v>
      </c>
      <c r="O1" t="s">
        <v>90</v>
      </c>
      <c r="P1" t="s">
        <v>91</v>
      </c>
      <c r="Q1" s="35" t="s">
        <v>85</v>
      </c>
      <c r="R1" s="36" t="s">
        <v>79</v>
      </c>
      <c r="S1" s="36" t="s">
        <v>82</v>
      </c>
      <c r="T1" s="36" t="s">
        <v>81</v>
      </c>
      <c r="U1" s="36" t="s">
        <v>69</v>
      </c>
      <c r="V1" s="36" t="s">
        <v>71</v>
      </c>
      <c r="W1" s="36" t="s">
        <v>70</v>
      </c>
      <c r="X1" s="36" t="s">
        <v>72</v>
      </c>
      <c r="Y1" s="36" t="s">
        <v>73</v>
      </c>
      <c r="Z1" s="36" t="s">
        <v>74</v>
      </c>
      <c r="AA1" s="36" t="s">
        <v>75</v>
      </c>
      <c r="AB1" s="36" t="s">
        <v>76</v>
      </c>
      <c r="AC1" s="36" t="s">
        <v>77</v>
      </c>
      <c r="AD1" s="36" t="s">
        <v>78</v>
      </c>
      <c r="AE1" s="36" t="s">
        <v>80</v>
      </c>
      <c r="AF1" s="36" t="s">
        <v>83</v>
      </c>
      <c r="AG1" s="36" t="s">
        <v>84</v>
      </c>
    </row>
    <row r="2" spans="1:33" x14ac:dyDescent="0.2">
      <c r="A2" s="39" t="s">
        <v>49</v>
      </c>
      <c r="B2" s="37">
        <v>9.0500000000000007</v>
      </c>
      <c r="C2" s="37">
        <v>19.399999999999999</v>
      </c>
      <c r="D2" s="37">
        <v>65.47</v>
      </c>
      <c r="E2" s="24">
        <v>17</v>
      </c>
      <c r="F2" s="24">
        <v>1.5385000000000002</v>
      </c>
      <c r="G2" s="24">
        <v>3.2979999999999996</v>
      </c>
      <c r="H2" s="24">
        <v>11.129899999999999</v>
      </c>
      <c r="I2" s="3">
        <v>94.429999999999993</v>
      </c>
      <c r="J2" s="3">
        <v>20</v>
      </c>
      <c r="K2" s="1" t="s">
        <v>33</v>
      </c>
      <c r="L2" t="s">
        <v>57</v>
      </c>
      <c r="M2">
        <f t="shared" ref="M2:M21" si="0">LOG(E2/100,2) + 3</f>
        <v>0.44360665147561473</v>
      </c>
      <c r="N2">
        <v>1</v>
      </c>
      <c r="O2">
        <v>2</v>
      </c>
      <c r="P2">
        <v>4</v>
      </c>
      <c r="Q2" s="3" t="s">
        <v>86</v>
      </c>
      <c r="R2">
        <v>40</v>
      </c>
      <c r="S2">
        <v>39.9</v>
      </c>
      <c r="T2">
        <v>38.4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</row>
    <row r="3" spans="1:33" x14ac:dyDescent="0.2">
      <c r="A3" s="39" t="s">
        <v>50</v>
      </c>
      <c r="B3" s="37">
        <v>28.05</v>
      </c>
      <c r="C3" s="37">
        <v>61.55</v>
      </c>
      <c r="D3" s="37">
        <v>0.94</v>
      </c>
      <c r="E3" s="24">
        <v>25</v>
      </c>
      <c r="F3" s="24">
        <v>7.0125000000000002</v>
      </c>
      <c r="G3" s="24">
        <v>15.387499999999999</v>
      </c>
      <c r="H3" s="24">
        <v>0.23499999999999999</v>
      </c>
      <c r="I3" s="3">
        <v>91.22</v>
      </c>
      <c r="J3" s="3">
        <v>20</v>
      </c>
      <c r="K3" s="1" t="s">
        <v>33</v>
      </c>
      <c r="L3" t="s">
        <v>58</v>
      </c>
      <c r="M3">
        <f t="shared" si="0"/>
        <v>1</v>
      </c>
      <c r="N3">
        <v>2</v>
      </c>
      <c r="O3">
        <v>2</v>
      </c>
      <c r="P3">
        <v>4</v>
      </c>
      <c r="Q3" s="3" t="s">
        <v>86</v>
      </c>
      <c r="R3">
        <v>40</v>
      </c>
      <c r="S3">
        <v>40</v>
      </c>
      <c r="T3">
        <v>40</v>
      </c>
      <c r="U3">
        <v>40</v>
      </c>
      <c r="V3">
        <v>40</v>
      </c>
      <c r="W3">
        <v>40</v>
      </c>
      <c r="X3">
        <v>40</v>
      </c>
      <c r="Y3">
        <v>40</v>
      </c>
      <c r="Z3">
        <v>40</v>
      </c>
      <c r="AA3">
        <v>40</v>
      </c>
      <c r="AB3">
        <v>40</v>
      </c>
      <c r="AC3">
        <v>40</v>
      </c>
      <c r="AD3">
        <v>40</v>
      </c>
      <c r="AE3">
        <v>40</v>
      </c>
      <c r="AF3">
        <v>40</v>
      </c>
      <c r="AG3">
        <v>40</v>
      </c>
    </row>
    <row r="4" spans="1:33" x14ac:dyDescent="0.2">
      <c r="A4" s="38" t="s">
        <v>43</v>
      </c>
      <c r="B4" s="37">
        <v>15.59</v>
      </c>
      <c r="C4" s="37">
        <v>28.5</v>
      </c>
      <c r="D4" s="37">
        <v>39.85</v>
      </c>
      <c r="E4" s="31">
        <v>27</v>
      </c>
      <c r="F4" s="31">
        <v>4.2092999999999998</v>
      </c>
      <c r="G4" s="31">
        <v>7.6950000000000003</v>
      </c>
      <c r="H4" s="31">
        <v>10.759500000000001</v>
      </c>
      <c r="I4" s="3">
        <v>85.95</v>
      </c>
      <c r="J4" s="3">
        <v>20</v>
      </c>
      <c r="K4" s="1" t="s">
        <v>33</v>
      </c>
      <c r="L4" t="s">
        <v>59</v>
      </c>
      <c r="M4">
        <f t="shared" si="0"/>
        <v>1.1110313123887439</v>
      </c>
      <c r="N4">
        <v>2</v>
      </c>
      <c r="O4">
        <v>2</v>
      </c>
      <c r="P4">
        <v>4</v>
      </c>
      <c r="Q4" s="3" t="s">
        <v>86</v>
      </c>
      <c r="R4">
        <v>40</v>
      </c>
      <c r="S4">
        <v>40</v>
      </c>
      <c r="T4">
        <v>40</v>
      </c>
      <c r="U4">
        <v>40</v>
      </c>
      <c r="V4">
        <v>40</v>
      </c>
      <c r="W4">
        <v>40</v>
      </c>
      <c r="X4">
        <v>40</v>
      </c>
      <c r="Y4">
        <v>40</v>
      </c>
      <c r="Z4">
        <v>40</v>
      </c>
      <c r="AA4">
        <v>40</v>
      </c>
      <c r="AB4">
        <v>40</v>
      </c>
      <c r="AC4">
        <v>40</v>
      </c>
      <c r="AD4">
        <v>40</v>
      </c>
      <c r="AE4">
        <v>40</v>
      </c>
      <c r="AF4">
        <v>40</v>
      </c>
      <c r="AG4">
        <v>40</v>
      </c>
    </row>
    <row r="5" spans="1:33" x14ac:dyDescent="0.2">
      <c r="A5" s="39" t="s">
        <v>51</v>
      </c>
      <c r="B5" s="37">
        <v>6.96</v>
      </c>
      <c r="C5" s="37">
        <v>28.33</v>
      </c>
      <c r="D5" s="37">
        <v>55</v>
      </c>
      <c r="E5" s="24">
        <v>51</v>
      </c>
      <c r="F5" s="24">
        <v>3.5495999999999999</v>
      </c>
      <c r="G5" s="24">
        <v>14.4483</v>
      </c>
      <c r="H5" s="24">
        <v>28.05</v>
      </c>
      <c r="I5" s="3">
        <v>94.55</v>
      </c>
      <c r="J5" s="3">
        <v>20</v>
      </c>
      <c r="K5" s="1" t="s">
        <v>33</v>
      </c>
      <c r="L5" t="s">
        <v>61</v>
      </c>
      <c r="M5">
        <f t="shared" si="0"/>
        <v>2.0285691521967708</v>
      </c>
      <c r="N5">
        <v>3</v>
      </c>
      <c r="O5">
        <v>2</v>
      </c>
      <c r="P5">
        <v>4</v>
      </c>
      <c r="Q5" s="3" t="s">
        <v>92</v>
      </c>
      <c r="R5">
        <v>31.5</v>
      </c>
      <c r="S5">
        <v>38.6</v>
      </c>
      <c r="T5">
        <v>39.700000000000003</v>
      </c>
      <c r="U5">
        <v>40</v>
      </c>
      <c r="V5">
        <v>40</v>
      </c>
      <c r="W5">
        <v>40</v>
      </c>
      <c r="X5">
        <v>40</v>
      </c>
      <c r="Y5">
        <v>40</v>
      </c>
      <c r="Z5">
        <v>40</v>
      </c>
      <c r="AA5">
        <v>40</v>
      </c>
      <c r="AB5">
        <v>40</v>
      </c>
      <c r="AC5">
        <v>40</v>
      </c>
      <c r="AD5">
        <v>40</v>
      </c>
      <c r="AE5">
        <v>40</v>
      </c>
      <c r="AF5">
        <v>40</v>
      </c>
      <c r="AG5">
        <v>40</v>
      </c>
    </row>
    <row r="6" spans="1:33" x14ac:dyDescent="0.2">
      <c r="A6" s="39" t="s">
        <v>47</v>
      </c>
      <c r="B6" s="37">
        <v>9.56</v>
      </c>
      <c r="C6" s="37">
        <v>15.18</v>
      </c>
      <c r="D6" s="37">
        <v>64.75</v>
      </c>
      <c r="E6" s="24">
        <v>76</v>
      </c>
      <c r="F6" s="24">
        <v>7.2656000000000009</v>
      </c>
      <c r="G6" s="24">
        <v>11.536800000000001</v>
      </c>
      <c r="H6" s="24">
        <v>49.21</v>
      </c>
      <c r="I6" s="3">
        <v>93.570000000000007</v>
      </c>
      <c r="J6" s="3">
        <v>20</v>
      </c>
      <c r="K6" s="1" t="s">
        <v>32</v>
      </c>
      <c r="L6" t="s">
        <v>62</v>
      </c>
      <c r="M6">
        <f t="shared" si="0"/>
        <v>2.6040713236688608</v>
      </c>
      <c r="N6">
        <v>3</v>
      </c>
      <c r="O6">
        <v>2</v>
      </c>
      <c r="P6">
        <v>4</v>
      </c>
      <c r="Q6" s="3" t="s">
        <v>92</v>
      </c>
      <c r="R6">
        <v>32.799999999999997</v>
      </c>
      <c r="S6">
        <v>40</v>
      </c>
      <c r="T6">
        <v>39.4</v>
      </c>
      <c r="U6">
        <v>40</v>
      </c>
      <c r="V6">
        <v>40</v>
      </c>
      <c r="W6">
        <v>40</v>
      </c>
      <c r="X6">
        <v>40</v>
      </c>
      <c r="Y6">
        <v>40</v>
      </c>
      <c r="Z6">
        <v>40</v>
      </c>
      <c r="AA6">
        <v>40</v>
      </c>
      <c r="AB6">
        <v>40</v>
      </c>
      <c r="AC6">
        <v>40</v>
      </c>
      <c r="AD6">
        <v>40</v>
      </c>
      <c r="AE6">
        <v>40</v>
      </c>
      <c r="AF6">
        <v>40</v>
      </c>
      <c r="AG6">
        <v>40</v>
      </c>
    </row>
    <row r="7" spans="1:33" x14ac:dyDescent="0.2">
      <c r="A7" s="43" t="s">
        <v>44</v>
      </c>
      <c r="B7" s="37">
        <v>7.53</v>
      </c>
      <c r="C7" s="37">
        <v>5</v>
      </c>
      <c r="D7" s="37">
        <v>83.91</v>
      </c>
      <c r="E7" s="24">
        <v>19</v>
      </c>
      <c r="F7" s="24">
        <v>1.4307000000000001</v>
      </c>
      <c r="G7" s="24">
        <v>0.95</v>
      </c>
      <c r="H7" s="24">
        <v>15.9429</v>
      </c>
      <c r="I7" s="3">
        <v>97.16</v>
      </c>
      <c r="J7" s="3">
        <v>20</v>
      </c>
      <c r="K7" s="1" t="s">
        <v>32</v>
      </c>
      <c r="L7" t="s">
        <v>58</v>
      </c>
      <c r="M7">
        <f t="shared" si="0"/>
        <v>0.60407132366886085</v>
      </c>
      <c r="N7">
        <v>1</v>
      </c>
      <c r="O7">
        <v>2</v>
      </c>
      <c r="P7">
        <v>2</v>
      </c>
      <c r="Q7" s="3" t="s">
        <v>86</v>
      </c>
      <c r="R7">
        <v>40</v>
      </c>
      <c r="S7">
        <v>39.5</v>
      </c>
      <c r="T7">
        <v>39.5</v>
      </c>
      <c r="U7">
        <v>40</v>
      </c>
      <c r="V7">
        <v>40</v>
      </c>
      <c r="W7">
        <v>40</v>
      </c>
      <c r="X7">
        <v>40</v>
      </c>
      <c r="Y7">
        <v>40</v>
      </c>
      <c r="Z7">
        <v>40</v>
      </c>
      <c r="AA7">
        <v>40</v>
      </c>
      <c r="AB7">
        <v>40</v>
      </c>
      <c r="AC7">
        <v>40</v>
      </c>
      <c r="AD7">
        <v>40</v>
      </c>
      <c r="AE7">
        <v>40</v>
      </c>
      <c r="AF7">
        <v>40</v>
      </c>
      <c r="AG7">
        <v>40</v>
      </c>
    </row>
    <row r="8" spans="1:33" x14ac:dyDescent="0.2">
      <c r="A8" s="43" t="s">
        <v>45</v>
      </c>
      <c r="B8" s="37">
        <v>3.07</v>
      </c>
      <c r="C8" s="37">
        <v>0.51</v>
      </c>
      <c r="D8" s="37">
        <v>95.99</v>
      </c>
      <c r="E8" s="24">
        <v>30</v>
      </c>
      <c r="F8" s="24">
        <v>0.92099999999999993</v>
      </c>
      <c r="G8" s="24">
        <v>0.153</v>
      </c>
      <c r="H8" s="24">
        <v>28.796999999999997</v>
      </c>
      <c r="I8" s="3">
        <v>99.66</v>
      </c>
      <c r="J8" s="3">
        <v>20</v>
      </c>
      <c r="K8" s="1" t="s">
        <v>32</v>
      </c>
      <c r="L8" t="s">
        <v>59</v>
      </c>
      <c r="M8">
        <f t="shared" si="0"/>
        <v>1.2630344058337937</v>
      </c>
      <c r="N8">
        <v>2</v>
      </c>
      <c r="O8">
        <v>2</v>
      </c>
      <c r="P8">
        <v>2</v>
      </c>
      <c r="Q8" s="3" t="s">
        <v>86</v>
      </c>
      <c r="R8">
        <v>40</v>
      </c>
      <c r="S8">
        <v>40</v>
      </c>
      <c r="T8">
        <v>40</v>
      </c>
      <c r="U8">
        <v>40</v>
      </c>
      <c r="V8">
        <v>40</v>
      </c>
      <c r="W8">
        <v>40</v>
      </c>
      <c r="X8">
        <v>40</v>
      </c>
      <c r="Y8">
        <v>40</v>
      </c>
      <c r="Z8">
        <v>40</v>
      </c>
      <c r="AA8">
        <v>40</v>
      </c>
      <c r="AB8">
        <v>40</v>
      </c>
      <c r="AC8">
        <v>40</v>
      </c>
      <c r="AD8">
        <v>40</v>
      </c>
      <c r="AE8">
        <v>40</v>
      </c>
      <c r="AF8">
        <v>40</v>
      </c>
      <c r="AG8">
        <v>40</v>
      </c>
    </row>
    <row r="9" spans="1:33" x14ac:dyDescent="0.2">
      <c r="A9" s="42" t="s">
        <v>37</v>
      </c>
      <c r="B9" s="37">
        <v>26.55</v>
      </c>
      <c r="C9" s="37">
        <v>14.72</v>
      </c>
      <c r="D9" s="37">
        <v>44.92</v>
      </c>
      <c r="E9" s="31">
        <v>36</v>
      </c>
      <c r="F9" s="31">
        <v>9.5579999999999998</v>
      </c>
      <c r="G9" s="31">
        <v>5.2992000000000008</v>
      </c>
      <c r="H9" s="31">
        <v>16.171200000000002</v>
      </c>
      <c r="I9" s="3">
        <v>87.55</v>
      </c>
      <c r="J9" s="3">
        <v>20</v>
      </c>
      <c r="K9" s="1" t="s">
        <v>32</v>
      </c>
      <c r="L9" t="s">
        <v>60</v>
      </c>
      <c r="M9">
        <f t="shared" si="0"/>
        <v>1.5260688116675876</v>
      </c>
      <c r="N9">
        <v>2</v>
      </c>
      <c r="O9">
        <v>2</v>
      </c>
      <c r="P9">
        <v>2</v>
      </c>
      <c r="Q9" s="3" t="s">
        <v>86</v>
      </c>
      <c r="R9">
        <v>40</v>
      </c>
      <c r="S9">
        <v>38.799999999999997</v>
      </c>
      <c r="T9">
        <v>39.200000000000003</v>
      </c>
      <c r="U9">
        <v>40</v>
      </c>
      <c r="V9">
        <v>40</v>
      </c>
      <c r="W9">
        <v>40</v>
      </c>
      <c r="X9">
        <v>40</v>
      </c>
      <c r="Y9">
        <v>40</v>
      </c>
      <c r="Z9">
        <v>40</v>
      </c>
      <c r="AA9">
        <v>40</v>
      </c>
      <c r="AB9">
        <v>40</v>
      </c>
      <c r="AC9">
        <v>40</v>
      </c>
      <c r="AD9">
        <v>40</v>
      </c>
      <c r="AE9">
        <v>40</v>
      </c>
      <c r="AF9">
        <v>40</v>
      </c>
      <c r="AG9">
        <v>40</v>
      </c>
    </row>
    <row r="10" spans="1:33" x14ac:dyDescent="0.2">
      <c r="A10" s="42" t="s">
        <v>39</v>
      </c>
      <c r="B10" s="37">
        <v>10.96</v>
      </c>
      <c r="C10" s="37">
        <v>6.18</v>
      </c>
      <c r="D10" s="37">
        <v>75.209999999999994</v>
      </c>
      <c r="E10" s="31">
        <v>51</v>
      </c>
      <c r="F10" s="31">
        <v>5.5896000000000008</v>
      </c>
      <c r="G10" s="31">
        <v>3.1518000000000002</v>
      </c>
      <c r="H10" s="31">
        <v>38.357099999999996</v>
      </c>
      <c r="I10" s="3">
        <v>94.47</v>
      </c>
      <c r="J10" s="3">
        <v>20</v>
      </c>
      <c r="K10" s="1" t="s">
        <v>33</v>
      </c>
      <c r="L10" t="s">
        <v>61</v>
      </c>
      <c r="M10">
        <f t="shared" si="0"/>
        <v>2.0285691521967708</v>
      </c>
      <c r="N10">
        <v>3</v>
      </c>
      <c r="O10">
        <v>2</v>
      </c>
      <c r="P10">
        <v>2</v>
      </c>
      <c r="Q10" s="3" t="s">
        <v>92</v>
      </c>
      <c r="R10">
        <v>33.4</v>
      </c>
      <c r="S10">
        <v>40</v>
      </c>
      <c r="T10">
        <v>40</v>
      </c>
      <c r="U10">
        <v>40</v>
      </c>
      <c r="V10">
        <v>40</v>
      </c>
      <c r="W10">
        <v>40</v>
      </c>
      <c r="X10">
        <v>40</v>
      </c>
      <c r="Y10">
        <v>40</v>
      </c>
      <c r="Z10">
        <v>40</v>
      </c>
      <c r="AA10">
        <v>40</v>
      </c>
      <c r="AB10">
        <v>40</v>
      </c>
      <c r="AC10">
        <v>40</v>
      </c>
      <c r="AD10">
        <v>40</v>
      </c>
      <c r="AE10">
        <v>40</v>
      </c>
      <c r="AF10">
        <v>40</v>
      </c>
      <c r="AG10">
        <v>40</v>
      </c>
    </row>
    <row r="11" spans="1:33" x14ac:dyDescent="0.2">
      <c r="A11" s="43" t="s">
        <v>46</v>
      </c>
      <c r="B11" s="37">
        <v>5.42</v>
      </c>
      <c r="C11" s="37">
        <v>5.0199999999999996</v>
      </c>
      <c r="D11" s="37">
        <v>87.52</v>
      </c>
      <c r="E11" s="24">
        <v>67</v>
      </c>
      <c r="F11" s="24">
        <v>3.6313999999999997</v>
      </c>
      <c r="G11" s="24">
        <v>3.3633999999999999</v>
      </c>
      <c r="H11" s="24">
        <v>58.638400000000004</v>
      </c>
      <c r="I11" s="3">
        <v>98.27</v>
      </c>
      <c r="J11" s="3">
        <v>20</v>
      </c>
      <c r="K11" s="1" t="s">
        <v>32</v>
      </c>
      <c r="L11" t="s">
        <v>61</v>
      </c>
      <c r="M11">
        <f t="shared" si="0"/>
        <v>2.4222330006830477</v>
      </c>
      <c r="N11">
        <v>3</v>
      </c>
      <c r="O11">
        <v>2</v>
      </c>
      <c r="P11">
        <v>2</v>
      </c>
      <c r="Q11" s="3" t="s">
        <v>92</v>
      </c>
      <c r="R11">
        <v>40</v>
      </c>
      <c r="S11">
        <v>40</v>
      </c>
      <c r="T11">
        <v>40</v>
      </c>
      <c r="U11">
        <v>40</v>
      </c>
      <c r="V11">
        <v>38.700000000000003</v>
      </c>
      <c r="W11">
        <v>40</v>
      </c>
      <c r="X11">
        <v>40</v>
      </c>
      <c r="Y11">
        <v>40</v>
      </c>
      <c r="Z11">
        <v>40</v>
      </c>
      <c r="AA11">
        <v>40</v>
      </c>
      <c r="AB11">
        <v>40</v>
      </c>
      <c r="AC11">
        <v>40</v>
      </c>
      <c r="AD11">
        <v>40</v>
      </c>
      <c r="AE11">
        <v>40</v>
      </c>
      <c r="AF11">
        <v>40</v>
      </c>
      <c r="AG11">
        <v>40</v>
      </c>
    </row>
    <row r="12" spans="1:33" x14ac:dyDescent="0.2">
      <c r="A12" s="42" t="s">
        <v>38</v>
      </c>
      <c r="B12" s="37">
        <v>3.03</v>
      </c>
      <c r="C12" s="37">
        <v>1.2</v>
      </c>
      <c r="D12" s="37">
        <v>94.33</v>
      </c>
      <c r="E12" s="31">
        <v>101</v>
      </c>
      <c r="F12" s="31">
        <v>3.0602999999999998</v>
      </c>
      <c r="G12" s="31">
        <v>1.212</v>
      </c>
      <c r="H12" s="31">
        <v>95.273300000000006</v>
      </c>
      <c r="I12" s="3">
        <v>98.76</v>
      </c>
      <c r="J12" s="3">
        <v>20</v>
      </c>
      <c r="K12" s="1" t="s">
        <v>32</v>
      </c>
      <c r="L12" t="s">
        <v>63</v>
      </c>
      <c r="M12">
        <f t="shared" si="0"/>
        <v>3.0143552929770703</v>
      </c>
      <c r="N12">
        <v>4</v>
      </c>
      <c r="O12">
        <v>2</v>
      </c>
      <c r="P12">
        <v>2</v>
      </c>
      <c r="Q12" s="3" t="s">
        <v>86</v>
      </c>
      <c r="R12">
        <v>40</v>
      </c>
      <c r="S12">
        <v>40</v>
      </c>
      <c r="T12">
        <v>40</v>
      </c>
      <c r="U12">
        <v>40</v>
      </c>
      <c r="V12">
        <v>40</v>
      </c>
      <c r="W12">
        <v>40</v>
      </c>
      <c r="X12">
        <v>40</v>
      </c>
      <c r="Y12">
        <v>40</v>
      </c>
      <c r="Z12">
        <v>40</v>
      </c>
      <c r="AA12">
        <v>40</v>
      </c>
      <c r="AB12">
        <v>40</v>
      </c>
      <c r="AC12">
        <v>40</v>
      </c>
      <c r="AD12">
        <v>40</v>
      </c>
      <c r="AE12">
        <v>40</v>
      </c>
      <c r="AF12">
        <v>40</v>
      </c>
      <c r="AG12">
        <v>40</v>
      </c>
    </row>
    <row r="13" spans="1:33" x14ac:dyDescent="0.2">
      <c r="A13" s="42" t="s">
        <v>40</v>
      </c>
      <c r="B13" s="37">
        <v>13.06</v>
      </c>
      <c r="C13" s="37">
        <v>12.15</v>
      </c>
      <c r="D13" s="37">
        <v>60.98</v>
      </c>
      <c r="E13" s="31">
        <v>111</v>
      </c>
      <c r="F13" s="31">
        <v>14.496600000000001</v>
      </c>
      <c r="G13" s="31">
        <v>13.486500000000001</v>
      </c>
      <c r="H13" s="31">
        <v>67.687799999999996</v>
      </c>
      <c r="I13" s="3">
        <v>92.57</v>
      </c>
      <c r="J13" s="3">
        <v>20</v>
      </c>
      <c r="K13" s="1" t="s">
        <v>33</v>
      </c>
      <c r="L13" t="s">
        <v>63</v>
      </c>
      <c r="M13">
        <f t="shared" si="0"/>
        <v>3.1505596765753814</v>
      </c>
      <c r="N13">
        <v>4</v>
      </c>
      <c r="O13">
        <v>2</v>
      </c>
      <c r="P13">
        <v>2</v>
      </c>
      <c r="Q13" s="3" t="s">
        <v>92</v>
      </c>
      <c r="R13">
        <v>32</v>
      </c>
      <c r="S13">
        <v>39.299999999999997</v>
      </c>
      <c r="T13">
        <v>40</v>
      </c>
      <c r="U13">
        <v>31.3</v>
      </c>
      <c r="V13">
        <v>40</v>
      </c>
      <c r="W13">
        <v>40</v>
      </c>
      <c r="X13">
        <v>40</v>
      </c>
      <c r="Y13">
        <v>40</v>
      </c>
      <c r="Z13">
        <v>40</v>
      </c>
      <c r="AA13">
        <v>40</v>
      </c>
      <c r="AB13">
        <v>40</v>
      </c>
      <c r="AC13">
        <v>40</v>
      </c>
      <c r="AD13">
        <v>40</v>
      </c>
      <c r="AE13">
        <v>40</v>
      </c>
      <c r="AF13">
        <v>40</v>
      </c>
      <c r="AG13">
        <v>40</v>
      </c>
    </row>
    <row r="14" spans="1:33" x14ac:dyDescent="0.2">
      <c r="A14" s="41" t="s">
        <v>36</v>
      </c>
      <c r="B14" s="37">
        <v>13.53</v>
      </c>
      <c r="C14" s="37">
        <v>48.03</v>
      </c>
      <c r="D14" s="37">
        <v>26.02</v>
      </c>
      <c r="E14" s="31">
        <v>63</v>
      </c>
      <c r="F14" s="31">
        <v>8.5238999999999994</v>
      </c>
      <c r="G14" s="31">
        <v>30.258899999999997</v>
      </c>
      <c r="H14" s="31">
        <v>16.392600000000002</v>
      </c>
      <c r="I14" s="3">
        <v>92.34</v>
      </c>
      <c r="J14" s="3">
        <v>20</v>
      </c>
      <c r="K14" s="1" t="s">
        <v>32</v>
      </c>
      <c r="L14" t="s">
        <v>61</v>
      </c>
      <c r="M14">
        <f t="shared" si="0"/>
        <v>2.3334237337251915</v>
      </c>
      <c r="N14">
        <v>3</v>
      </c>
      <c r="O14">
        <v>3</v>
      </c>
      <c r="P14">
        <v>3</v>
      </c>
      <c r="Q14" s="3" t="s">
        <v>92</v>
      </c>
      <c r="R14">
        <v>40</v>
      </c>
      <c r="S14">
        <v>39.1</v>
      </c>
      <c r="T14">
        <v>40</v>
      </c>
      <c r="U14">
        <v>40</v>
      </c>
      <c r="V14">
        <v>38.299999999999997</v>
      </c>
      <c r="W14">
        <v>40</v>
      </c>
      <c r="X14">
        <v>40</v>
      </c>
      <c r="Y14">
        <v>40</v>
      </c>
      <c r="Z14">
        <v>40</v>
      </c>
      <c r="AA14">
        <v>40</v>
      </c>
      <c r="AB14">
        <v>40</v>
      </c>
      <c r="AC14">
        <v>40</v>
      </c>
      <c r="AD14">
        <v>40</v>
      </c>
      <c r="AE14">
        <v>40</v>
      </c>
      <c r="AF14">
        <v>40</v>
      </c>
      <c r="AG14">
        <v>40</v>
      </c>
    </row>
    <row r="15" spans="1:33" x14ac:dyDescent="0.2">
      <c r="A15" s="40" t="s">
        <v>52</v>
      </c>
      <c r="B15" s="37">
        <v>8.4499999999999993</v>
      </c>
      <c r="C15" s="37">
        <v>55.82</v>
      </c>
      <c r="D15" s="37">
        <v>19.16</v>
      </c>
      <c r="E15" s="24">
        <v>83</v>
      </c>
      <c r="F15" s="24">
        <v>7.0134999999999987</v>
      </c>
      <c r="G15" s="24">
        <v>46.330600000000004</v>
      </c>
      <c r="H15" s="24">
        <v>15.902799999999999</v>
      </c>
      <c r="I15" s="3">
        <v>90.830000000000013</v>
      </c>
      <c r="J15" s="3">
        <v>20</v>
      </c>
      <c r="K15" s="1" t="s">
        <v>33</v>
      </c>
      <c r="L15" t="s">
        <v>62</v>
      </c>
      <c r="M15">
        <f t="shared" si="0"/>
        <v>2.7311832415722002</v>
      </c>
      <c r="N15">
        <v>3</v>
      </c>
      <c r="O15">
        <v>3</v>
      </c>
      <c r="P15">
        <v>3</v>
      </c>
      <c r="Q15" s="3" t="s">
        <v>86</v>
      </c>
      <c r="R15">
        <v>40</v>
      </c>
      <c r="S15">
        <v>40</v>
      </c>
      <c r="T15">
        <v>40</v>
      </c>
      <c r="U15">
        <v>40</v>
      </c>
      <c r="V15">
        <v>40</v>
      </c>
      <c r="W15">
        <v>40</v>
      </c>
      <c r="X15">
        <v>40</v>
      </c>
      <c r="Y15">
        <v>40</v>
      </c>
      <c r="Z15">
        <v>40</v>
      </c>
      <c r="AA15">
        <v>40</v>
      </c>
      <c r="AB15">
        <v>40</v>
      </c>
      <c r="AC15">
        <v>40</v>
      </c>
      <c r="AD15">
        <v>40</v>
      </c>
      <c r="AE15">
        <v>40</v>
      </c>
      <c r="AF15">
        <v>40</v>
      </c>
      <c r="AG15">
        <v>40</v>
      </c>
    </row>
    <row r="16" spans="1:33" x14ac:dyDescent="0.2">
      <c r="A16" s="40" t="s">
        <v>48</v>
      </c>
      <c r="B16" s="37">
        <v>8.65</v>
      </c>
      <c r="C16" s="37">
        <v>15.47</v>
      </c>
      <c r="D16" s="37">
        <v>72.290000000000006</v>
      </c>
      <c r="E16" s="24">
        <v>118</v>
      </c>
      <c r="F16" s="24">
        <v>10.207000000000001</v>
      </c>
      <c r="G16" s="24">
        <v>18.2546</v>
      </c>
      <c r="H16" s="24">
        <v>85.302200000000013</v>
      </c>
      <c r="I16" s="3">
        <v>97.070000000000007</v>
      </c>
      <c r="J16" s="3">
        <v>20</v>
      </c>
      <c r="K16" s="1" t="s">
        <v>32</v>
      </c>
      <c r="L16" t="s">
        <v>63</v>
      </c>
      <c r="M16">
        <f t="shared" si="0"/>
        <v>3.2387868595871163</v>
      </c>
      <c r="N16">
        <v>4</v>
      </c>
      <c r="O16">
        <v>3</v>
      </c>
      <c r="P16">
        <v>3</v>
      </c>
      <c r="Q16" s="3" t="s">
        <v>92</v>
      </c>
      <c r="R16">
        <v>31.1</v>
      </c>
      <c r="S16">
        <v>36.4</v>
      </c>
      <c r="T16">
        <v>39</v>
      </c>
      <c r="U16">
        <v>40</v>
      </c>
      <c r="V16">
        <v>40</v>
      </c>
      <c r="W16">
        <v>40</v>
      </c>
      <c r="X16">
        <v>40</v>
      </c>
      <c r="Y16">
        <v>40</v>
      </c>
      <c r="Z16">
        <v>40</v>
      </c>
      <c r="AA16">
        <v>40</v>
      </c>
      <c r="AB16">
        <v>40</v>
      </c>
      <c r="AC16">
        <v>40</v>
      </c>
      <c r="AD16">
        <v>40</v>
      </c>
      <c r="AE16">
        <v>40</v>
      </c>
      <c r="AF16">
        <v>40</v>
      </c>
      <c r="AG16">
        <v>40</v>
      </c>
    </row>
    <row r="17" spans="1:33" x14ac:dyDescent="0.2">
      <c r="A17" s="41" t="s">
        <v>42</v>
      </c>
      <c r="B17" s="37">
        <v>5.8</v>
      </c>
      <c r="C17" s="37">
        <v>36.58</v>
      </c>
      <c r="D17" s="37">
        <v>50.96</v>
      </c>
      <c r="E17" s="31">
        <v>155</v>
      </c>
      <c r="F17" s="31">
        <v>8.99</v>
      </c>
      <c r="G17" s="31">
        <v>56.698999999999998</v>
      </c>
      <c r="H17" s="31">
        <v>78.988</v>
      </c>
      <c r="I17" s="3">
        <v>93.81</v>
      </c>
      <c r="J17" s="3">
        <v>20</v>
      </c>
      <c r="K17" s="1" t="s">
        <v>33</v>
      </c>
      <c r="L17" t="s">
        <v>63</v>
      </c>
      <c r="M17">
        <f t="shared" si="0"/>
        <v>3.6322682154995132</v>
      </c>
      <c r="N17">
        <v>4</v>
      </c>
      <c r="O17">
        <v>3</v>
      </c>
      <c r="P17">
        <v>3</v>
      </c>
      <c r="Q17" s="3" t="s">
        <v>86</v>
      </c>
      <c r="R17">
        <v>40</v>
      </c>
      <c r="S17">
        <v>39.5</v>
      </c>
      <c r="T17">
        <v>40</v>
      </c>
      <c r="U17">
        <v>40</v>
      </c>
      <c r="V17">
        <v>40</v>
      </c>
      <c r="W17">
        <v>40</v>
      </c>
      <c r="X17">
        <v>40</v>
      </c>
      <c r="Y17">
        <v>40</v>
      </c>
      <c r="Z17">
        <v>40</v>
      </c>
      <c r="AA17">
        <v>40</v>
      </c>
      <c r="AB17">
        <v>40</v>
      </c>
      <c r="AC17">
        <v>40</v>
      </c>
      <c r="AD17">
        <v>40</v>
      </c>
      <c r="AE17">
        <v>40</v>
      </c>
      <c r="AF17">
        <v>40</v>
      </c>
      <c r="AG17">
        <v>40</v>
      </c>
    </row>
    <row r="18" spans="1:33" x14ac:dyDescent="0.2">
      <c r="A18" s="45" t="s">
        <v>35</v>
      </c>
      <c r="B18" s="37">
        <v>6.2</v>
      </c>
      <c r="C18" s="37">
        <v>8.1999999999999993</v>
      </c>
      <c r="D18" s="37">
        <v>75.069999999999993</v>
      </c>
      <c r="E18" s="31">
        <v>127</v>
      </c>
      <c r="F18" s="31">
        <v>7.8739999999999997</v>
      </c>
      <c r="G18" s="31">
        <v>10.413999999999998</v>
      </c>
      <c r="H18" s="31">
        <v>95.338899999999995</v>
      </c>
      <c r="I18" s="3">
        <v>95.94</v>
      </c>
      <c r="J18" s="3">
        <v>20</v>
      </c>
      <c r="K18" s="1" t="s">
        <v>32</v>
      </c>
      <c r="L18" t="s">
        <v>63</v>
      </c>
      <c r="M18">
        <f t="shared" si="0"/>
        <v>3.3448284969974411</v>
      </c>
      <c r="N18">
        <v>4</v>
      </c>
      <c r="O18">
        <v>1</v>
      </c>
      <c r="P18">
        <v>1</v>
      </c>
      <c r="Q18" s="3" t="s">
        <v>92</v>
      </c>
      <c r="R18">
        <v>31</v>
      </c>
      <c r="S18">
        <v>37.799999999999997</v>
      </c>
      <c r="T18">
        <v>40</v>
      </c>
      <c r="U18">
        <v>35.9</v>
      </c>
      <c r="V18">
        <v>40</v>
      </c>
      <c r="W18">
        <v>40</v>
      </c>
      <c r="X18">
        <v>40</v>
      </c>
      <c r="Y18">
        <v>40</v>
      </c>
      <c r="Z18">
        <v>40</v>
      </c>
      <c r="AA18">
        <v>40</v>
      </c>
      <c r="AB18">
        <v>40</v>
      </c>
      <c r="AC18">
        <v>40</v>
      </c>
      <c r="AD18">
        <v>40</v>
      </c>
      <c r="AE18">
        <v>40</v>
      </c>
      <c r="AF18">
        <v>40</v>
      </c>
      <c r="AG18">
        <v>40</v>
      </c>
    </row>
    <row r="19" spans="1:33" x14ac:dyDescent="0.2">
      <c r="A19" s="44" t="s">
        <v>53</v>
      </c>
      <c r="B19" s="37">
        <v>4.68</v>
      </c>
      <c r="C19" s="37">
        <v>2.29</v>
      </c>
      <c r="D19" s="37">
        <v>85.67</v>
      </c>
      <c r="E19" s="24">
        <v>224</v>
      </c>
      <c r="F19" s="24">
        <v>10.4832</v>
      </c>
      <c r="G19" s="24">
        <v>5.1295999999999999</v>
      </c>
      <c r="H19" s="24">
        <v>191.9008</v>
      </c>
      <c r="I19" s="3">
        <v>97.88</v>
      </c>
      <c r="J19" s="3">
        <v>20</v>
      </c>
      <c r="K19" s="1" t="s">
        <v>33</v>
      </c>
      <c r="L19" s="30" t="s">
        <v>64</v>
      </c>
      <c r="M19">
        <f t="shared" si="0"/>
        <v>4.1634987322828794</v>
      </c>
      <c r="N19">
        <v>5</v>
      </c>
      <c r="O19">
        <v>1</v>
      </c>
      <c r="P19">
        <v>1</v>
      </c>
      <c r="Q19" s="3" t="s">
        <v>92</v>
      </c>
      <c r="R19">
        <v>32.200000000000003</v>
      </c>
      <c r="S19">
        <v>39.200000000000003</v>
      </c>
      <c r="T19">
        <v>40</v>
      </c>
      <c r="U19">
        <v>40</v>
      </c>
      <c r="V19">
        <v>40</v>
      </c>
      <c r="W19">
        <v>40</v>
      </c>
      <c r="X19">
        <v>40</v>
      </c>
      <c r="Y19">
        <v>40</v>
      </c>
      <c r="Z19">
        <v>40</v>
      </c>
      <c r="AA19">
        <v>40</v>
      </c>
      <c r="AB19">
        <v>40</v>
      </c>
      <c r="AC19">
        <v>40</v>
      </c>
      <c r="AD19">
        <v>40</v>
      </c>
      <c r="AE19">
        <v>40</v>
      </c>
      <c r="AF19">
        <v>40</v>
      </c>
      <c r="AG19">
        <v>40</v>
      </c>
    </row>
    <row r="20" spans="1:33" x14ac:dyDescent="0.2">
      <c r="A20" s="45" t="s">
        <v>41</v>
      </c>
      <c r="B20" s="37">
        <v>9.68</v>
      </c>
      <c r="C20" s="37">
        <v>4.0599999999999996</v>
      </c>
      <c r="D20" s="37">
        <v>75.760000000000005</v>
      </c>
      <c r="E20" s="31">
        <v>277</v>
      </c>
      <c r="F20" s="31">
        <v>26.813600000000001</v>
      </c>
      <c r="G20" s="31">
        <v>11.246199999999998</v>
      </c>
      <c r="H20" s="31">
        <v>209.8552</v>
      </c>
      <c r="I20" s="3">
        <v>95.46</v>
      </c>
      <c r="J20" s="3">
        <v>20</v>
      </c>
      <c r="K20" s="1" t="s">
        <v>33</v>
      </c>
      <c r="L20" s="30" t="s">
        <v>64</v>
      </c>
      <c r="M20">
        <f t="shared" si="0"/>
        <v>4.4698859762744636</v>
      </c>
      <c r="N20">
        <v>5</v>
      </c>
      <c r="O20">
        <v>1</v>
      </c>
      <c r="P20">
        <v>1</v>
      </c>
      <c r="Q20" s="3" t="s">
        <v>92</v>
      </c>
      <c r="R20">
        <v>33.6</v>
      </c>
      <c r="S20">
        <v>39.1</v>
      </c>
      <c r="T20">
        <v>40</v>
      </c>
      <c r="U20">
        <v>40</v>
      </c>
      <c r="V20">
        <v>40</v>
      </c>
      <c r="W20">
        <v>40</v>
      </c>
      <c r="X20">
        <v>40</v>
      </c>
      <c r="Y20">
        <v>40</v>
      </c>
      <c r="Z20">
        <v>40</v>
      </c>
      <c r="AA20">
        <v>40</v>
      </c>
      <c r="AB20">
        <v>40</v>
      </c>
      <c r="AC20">
        <v>40</v>
      </c>
      <c r="AD20">
        <v>40</v>
      </c>
      <c r="AE20">
        <v>40</v>
      </c>
      <c r="AF20">
        <v>40</v>
      </c>
      <c r="AG20">
        <v>40</v>
      </c>
    </row>
    <row r="21" spans="1:33" x14ac:dyDescent="0.2">
      <c r="A21" s="45" t="s">
        <v>34</v>
      </c>
      <c r="B21" s="37">
        <v>6.67</v>
      </c>
      <c r="C21" s="37">
        <v>1.31</v>
      </c>
      <c r="D21" s="37">
        <v>87.78</v>
      </c>
      <c r="E21" s="31">
        <v>506</v>
      </c>
      <c r="F21" s="31">
        <v>33.7502</v>
      </c>
      <c r="G21" s="31">
        <v>6.6286000000000005</v>
      </c>
      <c r="H21" s="31">
        <v>444.16680000000002</v>
      </c>
      <c r="I21" s="3">
        <v>97.06</v>
      </c>
      <c r="J21" s="3">
        <v>20</v>
      </c>
      <c r="K21" s="1" t="s">
        <v>32</v>
      </c>
      <c r="L21" t="s">
        <v>65</v>
      </c>
      <c r="M21">
        <f t="shared" si="0"/>
        <v>5.3391373849195851</v>
      </c>
      <c r="N21">
        <v>6</v>
      </c>
      <c r="O21">
        <v>1</v>
      </c>
      <c r="P21">
        <v>1</v>
      </c>
      <c r="Q21" s="3" t="s">
        <v>92</v>
      </c>
      <c r="R21">
        <v>31.1</v>
      </c>
      <c r="S21">
        <v>38.700000000000003</v>
      </c>
      <c r="T21">
        <v>40</v>
      </c>
      <c r="U21">
        <v>29</v>
      </c>
      <c r="V21">
        <v>40</v>
      </c>
      <c r="W21">
        <v>40</v>
      </c>
      <c r="X21">
        <v>40</v>
      </c>
      <c r="Y21">
        <v>40</v>
      </c>
      <c r="Z21">
        <v>40</v>
      </c>
      <c r="AA21">
        <v>40</v>
      </c>
      <c r="AB21">
        <v>40</v>
      </c>
      <c r="AC21">
        <v>40</v>
      </c>
      <c r="AD21">
        <v>40</v>
      </c>
      <c r="AE21">
        <v>40</v>
      </c>
      <c r="AF21">
        <v>40</v>
      </c>
      <c r="AG21">
        <v>40</v>
      </c>
    </row>
  </sheetData>
  <sortState xmlns:xlrd2="http://schemas.microsoft.com/office/spreadsheetml/2017/richdata2" ref="A18:AG21">
    <sortCondition ref="E18:E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34130-A858-D448-BFC1-C7FB53DB4021}">
  <dimension ref="A1:O41"/>
  <sheetViews>
    <sheetView zoomScale="130" zoomScaleNormal="130" workbookViewId="0">
      <selection activeCell="N1" sqref="N1:N21"/>
    </sheetView>
  </sheetViews>
  <sheetFormatPr baseColWidth="10" defaultRowHeight="16" x14ac:dyDescent="0.2"/>
  <cols>
    <col min="1" max="1" width="14.83203125" style="1" customWidth="1"/>
    <col min="2" max="4" width="10.83203125" style="3"/>
    <col min="5" max="5" width="10.83203125" style="24"/>
    <col min="6" max="7" width="10.83203125" style="3"/>
    <col min="8" max="8" width="18.6640625" style="3" customWidth="1"/>
    <col min="9" max="11" width="10.83203125" style="24"/>
    <col min="12" max="13" width="10.83203125" style="1"/>
    <col min="14" max="14" width="10.83203125" style="3"/>
    <col min="15" max="16384" width="10.83203125" style="1"/>
  </cols>
  <sheetData>
    <row r="1" spans="1:15" x14ac:dyDescent="0.2">
      <c r="A1" s="1" t="s">
        <v>4</v>
      </c>
      <c r="B1" s="2" t="s">
        <v>1</v>
      </c>
      <c r="C1" s="2" t="s">
        <v>2</v>
      </c>
      <c r="D1" s="2" t="s">
        <v>0</v>
      </c>
      <c r="E1" s="28" t="s">
        <v>3</v>
      </c>
      <c r="F1" s="2" t="s">
        <v>15</v>
      </c>
      <c r="G1" s="2" t="s">
        <v>16</v>
      </c>
      <c r="H1" s="2" t="s">
        <v>27</v>
      </c>
      <c r="I1" s="2" t="s">
        <v>54</v>
      </c>
      <c r="J1" s="2" t="s">
        <v>55</v>
      </c>
      <c r="K1" s="2" t="s">
        <v>56</v>
      </c>
      <c r="L1" s="2" t="s">
        <v>28</v>
      </c>
      <c r="M1" s="2" t="s">
        <v>29</v>
      </c>
      <c r="N1" s="3" t="s">
        <v>30</v>
      </c>
      <c r="O1" s="1" t="s">
        <v>31</v>
      </c>
    </row>
    <row r="2" spans="1:15" x14ac:dyDescent="0.2">
      <c r="A2" s="4" t="s">
        <v>5</v>
      </c>
      <c r="B2" s="5">
        <v>16</v>
      </c>
      <c r="C2" s="5">
        <v>13</v>
      </c>
      <c r="D2" s="5">
        <v>26</v>
      </c>
      <c r="E2" s="5">
        <v>45</v>
      </c>
      <c r="F2" s="5">
        <f t="shared" ref="F2:F21" si="0">SUM(B2:D2)</f>
        <v>55</v>
      </c>
      <c r="G2" s="5">
        <v>4</v>
      </c>
      <c r="H2" s="5">
        <v>1</v>
      </c>
      <c r="I2" s="5">
        <f t="shared" ref="I2:I21" si="1">$E2*B2/100</f>
        <v>7.2</v>
      </c>
      <c r="J2" s="5">
        <f t="shared" ref="J2:J21" si="2">$E2*C2/100</f>
        <v>5.85</v>
      </c>
      <c r="K2" s="5">
        <f t="shared" ref="K2:K21" si="3">$E2*D2/100</f>
        <v>11.7</v>
      </c>
      <c r="L2" s="6">
        <v>44416</v>
      </c>
      <c r="M2" s="6">
        <v>44631</v>
      </c>
      <c r="N2" s="7">
        <f t="shared" ref="N2:N21" si="4">M2-L2</f>
        <v>215</v>
      </c>
      <c r="O2" s="1" t="s">
        <v>32</v>
      </c>
    </row>
    <row r="3" spans="1:15" x14ac:dyDescent="0.2">
      <c r="A3" s="4" t="s">
        <v>9</v>
      </c>
      <c r="B3" s="5">
        <v>26.57</v>
      </c>
      <c r="C3" s="5">
        <v>25.93</v>
      </c>
      <c r="D3" s="5">
        <v>22.81</v>
      </c>
      <c r="E3" s="5">
        <v>23</v>
      </c>
      <c r="F3" s="5">
        <f t="shared" si="0"/>
        <v>75.31</v>
      </c>
      <c r="G3" s="5">
        <v>6</v>
      </c>
      <c r="H3" s="5">
        <v>1</v>
      </c>
      <c r="I3" s="5">
        <f t="shared" si="1"/>
        <v>6.1111000000000004</v>
      </c>
      <c r="J3" s="5">
        <f t="shared" si="2"/>
        <v>5.9638999999999998</v>
      </c>
      <c r="K3" s="5">
        <f t="shared" si="3"/>
        <v>5.2462999999999997</v>
      </c>
      <c r="L3" s="6">
        <v>44529</v>
      </c>
      <c r="M3" s="6">
        <v>44652</v>
      </c>
      <c r="N3" s="7">
        <f t="shared" si="4"/>
        <v>123</v>
      </c>
      <c r="O3" s="1" t="s">
        <v>32</v>
      </c>
    </row>
    <row r="4" spans="1:15" x14ac:dyDescent="0.2">
      <c r="A4" s="4" t="s">
        <v>10</v>
      </c>
      <c r="B4" s="5">
        <v>27.55</v>
      </c>
      <c r="C4" s="5">
        <v>23.41</v>
      </c>
      <c r="D4" s="5">
        <v>27.79</v>
      </c>
      <c r="E4" s="5">
        <v>31</v>
      </c>
      <c r="F4" s="5">
        <f t="shared" si="0"/>
        <v>78.75</v>
      </c>
      <c r="G4" s="5">
        <v>6</v>
      </c>
      <c r="H4" s="5">
        <v>1</v>
      </c>
      <c r="I4" s="5">
        <f t="shared" si="1"/>
        <v>8.5405000000000015</v>
      </c>
      <c r="J4" s="5">
        <f t="shared" si="2"/>
        <v>7.2571000000000003</v>
      </c>
      <c r="K4" s="5">
        <f t="shared" si="3"/>
        <v>8.6149000000000004</v>
      </c>
      <c r="L4" s="6">
        <v>44438</v>
      </c>
      <c r="M4" s="6">
        <v>44652</v>
      </c>
      <c r="N4" s="7">
        <f t="shared" si="4"/>
        <v>214</v>
      </c>
      <c r="O4" s="1" t="s">
        <v>32</v>
      </c>
    </row>
    <row r="5" spans="1:15" x14ac:dyDescent="0.2">
      <c r="A5" s="8" t="s">
        <v>17</v>
      </c>
      <c r="B5" s="9">
        <v>29.42</v>
      </c>
      <c r="C5" s="9">
        <v>18.989999999999998</v>
      </c>
      <c r="D5" s="9">
        <v>24.17</v>
      </c>
      <c r="E5" s="9">
        <v>20</v>
      </c>
      <c r="F5" s="9">
        <f t="shared" si="0"/>
        <v>72.58</v>
      </c>
      <c r="G5" s="9">
        <v>1</v>
      </c>
      <c r="H5" s="9">
        <v>2</v>
      </c>
      <c r="I5" s="9">
        <f t="shared" si="1"/>
        <v>5.8840000000000012</v>
      </c>
      <c r="J5" s="9">
        <f t="shared" si="2"/>
        <v>3.7979999999999996</v>
      </c>
      <c r="K5" s="9">
        <f t="shared" si="3"/>
        <v>4.8340000000000005</v>
      </c>
      <c r="L5" s="10">
        <v>44009</v>
      </c>
      <c r="M5" s="10">
        <v>44350</v>
      </c>
      <c r="N5" s="11">
        <f t="shared" si="4"/>
        <v>341</v>
      </c>
      <c r="O5" s="1" t="s">
        <v>32</v>
      </c>
    </row>
    <row r="6" spans="1:15" x14ac:dyDescent="0.2">
      <c r="A6" s="8" t="s">
        <v>20</v>
      </c>
      <c r="B6" s="9">
        <v>22.3</v>
      </c>
      <c r="C6" s="9">
        <v>19.260000000000002</v>
      </c>
      <c r="D6" s="9">
        <v>31.37</v>
      </c>
      <c r="E6" s="9">
        <v>75</v>
      </c>
      <c r="F6" s="9">
        <f t="shared" si="0"/>
        <v>72.930000000000007</v>
      </c>
      <c r="G6" s="9">
        <v>1</v>
      </c>
      <c r="H6" s="9">
        <v>2</v>
      </c>
      <c r="I6" s="9">
        <f t="shared" si="1"/>
        <v>16.725000000000001</v>
      </c>
      <c r="J6" s="9">
        <f t="shared" si="2"/>
        <v>14.445000000000002</v>
      </c>
      <c r="K6" s="9">
        <f t="shared" si="3"/>
        <v>23.5275</v>
      </c>
      <c r="L6" s="10">
        <v>44227</v>
      </c>
      <c r="M6" s="10">
        <v>44470</v>
      </c>
      <c r="N6" s="11">
        <f t="shared" si="4"/>
        <v>243</v>
      </c>
      <c r="O6" s="1" t="s">
        <v>32</v>
      </c>
    </row>
    <row r="7" spans="1:15" x14ac:dyDescent="0.2">
      <c r="A7" s="8" t="s">
        <v>18</v>
      </c>
      <c r="B7" s="9">
        <v>3.98</v>
      </c>
      <c r="C7" s="9">
        <v>5.91</v>
      </c>
      <c r="D7" s="9">
        <v>83.79</v>
      </c>
      <c r="E7" s="9">
        <v>30</v>
      </c>
      <c r="F7" s="9">
        <f t="shared" si="0"/>
        <v>93.68</v>
      </c>
      <c r="G7" s="9">
        <v>1</v>
      </c>
      <c r="H7" s="9">
        <v>2</v>
      </c>
      <c r="I7" s="9">
        <f t="shared" si="1"/>
        <v>1.194</v>
      </c>
      <c r="J7" s="9">
        <f t="shared" si="2"/>
        <v>1.7730000000000001</v>
      </c>
      <c r="K7" s="9">
        <f t="shared" si="3"/>
        <v>25.137000000000004</v>
      </c>
      <c r="L7" s="10">
        <v>44183</v>
      </c>
      <c r="M7" s="10">
        <v>44467</v>
      </c>
      <c r="N7" s="11">
        <f t="shared" si="4"/>
        <v>284</v>
      </c>
      <c r="O7" s="1" t="s">
        <v>32</v>
      </c>
    </row>
    <row r="8" spans="1:15" x14ac:dyDescent="0.2">
      <c r="A8" s="8" t="s">
        <v>19</v>
      </c>
      <c r="B8" s="9">
        <v>10.99</v>
      </c>
      <c r="C8" s="9">
        <v>47.19</v>
      </c>
      <c r="D8" s="9">
        <v>21.41</v>
      </c>
      <c r="E8" s="9">
        <v>37</v>
      </c>
      <c r="F8" s="9">
        <f t="shared" si="0"/>
        <v>79.59</v>
      </c>
      <c r="G8" s="9">
        <v>1</v>
      </c>
      <c r="H8" s="9">
        <v>2</v>
      </c>
      <c r="I8" s="9">
        <f t="shared" si="1"/>
        <v>4.0663</v>
      </c>
      <c r="J8" s="9">
        <f t="shared" si="2"/>
        <v>17.4603</v>
      </c>
      <c r="K8" s="9">
        <f t="shared" si="3"/>
        <v>7.9216999999999995</v>
      </c>
      <c r="L8" s="10">
        <v>44289</v>
      </c>
      <c r="M8" s="10">
        <v>44442</v>
      </c>
      <c r="N8" s="11">
        <f t="shared" si="4"/>
        <v>153</v>
      </c>
      <c r="O8" s="1" t="s">
        <v>32</v>
      </c>
    </row>
    <row r="9" spans="1:15" x14ac:dyDescent="0.2">
      <c r="A9" s="12" t="s">
        <v>11</v>
      </c>
      <c r="B9" s="13">
        <v>32.630000000000003</v>
      </c>
      <c r="C9" s="13">
        <v>26.01</v>
      </c>
      <c r="D9" s="13">
        <v>16.309999999999999</v>
      </c>
      <c r="E9" s="13">
        <v>107</v>
      </c>
      <c r="F9" s="13">
        <f t="shared" si="0"/>
        <v>74.95</v>
      </c>
      <c r="G9" s="13">
        <v>6</v>
      </c>
      <c r="H9" s="14">
        <v>3</v>
      </c>
      <c r="I9" s="13">
        <f t="shared" si="1"/>
        <v>34.914100000000005</v>
      </c>
      <c r="J9" s="13">
        <f t="shared" si="2"/>
        <v>27.8307</v>
      </c>
      <c r="K9" s="13">
        <f t="shared" si="3"/>
        <v>17.451699999999999</v>
      </c>
      <c r="L9" s="15">
        <v>44403</v>
      </c>
      <c r="M9" s="15">
        <v>44652</v>
      </c>
      <c r="N9" s="14">
        <f t="shared" si="4"/>
        <v>249</v>
      </c>
      <c r="O9" s="1" t="s">
        <v>32</v>
      </c>
    </row>
    <row r="10" spans="1:15" x14ac:dyDescent="0.2">
      <c r="A10" s="12" t="s">
        <v>12</v>
      </c>
      <c r="B10" s="13">
        <v>15.69</v>
      </c>
      <c r="C10" s="13">
        <v>45.36</v>
      </c>
      <c r="D10" s="13">
        <v>26.77</v>
      </c>
      <c r="E10" s="13">
        <v>186</v>
      </c>
      <c r="F10" s="13">
        <f t="shared" si="0"/>
        <v>87.82</v>
      </c>
      <c r="G10" s="13">
        <v>6</v>
      </c>
      <c r="H10" s="14">
        <v>3</v>
      </c>
      <c r="I10" s="13">
        <f t="shared" si="1"/>
        <v>29.183399999999995</v>
      </c>
      <c r="J10" s="13">
        <f t="shared" si="2"/>
        <v>84.369599999999991</v>
      </c>
      <c r="K10" s="13">
        <f t="shared" si="3"/>
        <v>49.792200000000001</v>
      </c>
      <c r="L10" s="15">
        <v>44436</v>
      </c>
      <c r="M10" s="15">
        <v>44652</v>
      </c>
      <c r="N10" s="14">
        <f t="shared" si="4"/>
        <v>216</v>
      </c>
      <c r="O10" s="1" t="s">
        <v>32</v>
      </c>
    </row>
    <row r="11" spans="1:15" x14ac:dyDescent="0.2">
      <c r="A11" s="12" t="s">
        <v>6</v>
      </c>
      <c r="B11" s="13">
        <v>16</v>
      </c>
      <c r="C11" s="13">
        <v>10</v>
      </c>
      <c r="D11" s="13">
        <v>60</v>
      </c>
      <c r="E11" s="13">
        <v>170</v>
      </c>
      <c r="F11" s="13">
        <f t="shared" si="0"/>
        <v>86</v>
      </c>
      <c r="G11" s="13">
        <v>4</v>
      </c>
      <c r="H11" s="14">
        <v>3</v>
      </c>
      <c r="I11" s="13">
        <f t="shared" si="1"/>
        <v>27.2</v>
      </c>
      <c r="J11" s="13">
        <f t="shared" si="2"/>
        <v>17</v>
      </c>
      <c r="K11" s="13">
        <f t="shared" si="3"/>
        <v>102</v>
      </c>
      <c r="L11" s="15">
        <v>44430</v>
      </c>
      <c r="M11" s="15">
        <v>44631</v>
      </c>
      <c r="N11" s="14">
        <f t="shared" si="4"/>
        <v>201</v>
      </c>
      <c r="O11" s="1" t="s">
        <v>32</v>
      </c>
    </row>
    <row r="12" spans="1:15" x14ac:dyDescent="0.2">
      <c r="A12" s="12" t="s">
        <v>7</v>
      </c>
      <c r="B12" s="13">
        <v>17</v>
      </c>
      <c r="C12" s="13">
        <v>5</v>
      </c>
      <c r="D12" s="13">
        <v>63</v>
      </c>
      <c r="E12" s="13">
        <v>200</v>
      </c>
      <c r="F12" s="13">
        <f t="shared" si="0"/>
        <v>85</v>
      </c>
      <c r="G12" s="13">
        <v>4</v>
      </c>
      <c r="H12" s="14">
        <v>3</v>
      </c>
      <c r="I12" s="13">
        <f t="shared" si="1"/>
        <v>34</v>
      </c>
      <c r="J12" s="13">
        <f t="shared" si="2"/>
        <v>10</v>
      </c>
      <c r="K12" s="13">
        <f t="shared" si="3"/>
        <v>126</v>
      </c>
      <c r="L12" s="15">
        <v>44432</v>
      </c>
      <c r="M12" s="15">
        <v>44631</v>
      </c>
      <c r="N12" s="14">
        <f t="shared" si="4"/>
        <v>199</v>
      </c>
      <c r="O12" s="1" t="s">
        <v>32</v>
      </c>
    </row>
    <row r="13" spans="1:15" x14ac:dyDescent="0.2">
      <c r="A13" s="12" t="s">
        <v>8</v>
      </c>
      <c r="B13" s="13">
        <v>8</v>
      </c>
      <c r="C13" s="13">
        <v>4</v>
      </c>
      <c r="D13" s="13">
        <v>79</v>
      </c>
      <c r="E13" s="13">
        <v>389</v>
      </c>
      <c r="F13" s="13">
        <f t="shared" si="0"/>
        <v>91</v>
      </c>
      <c r="G13" s="13">
        <v>4</v>
      </c>
      <c r="H13" s="14">
        <v>3</v>
      </c>
      <c r="I13" s="13">
        <f t="shared" si="1"/>
        <v>31.12</v>
      </c>
      <c r="J13" s="13">
        <f t="shared" si="2"/>
        <v>15.56</v>
      </c>
      <c r="K13" s="13">
        <f t="shared" si="3"/>
        <v>307.31</v>
      </c>
      <c r="L13" s="15">
        <v>44438</v>
      </c>
      <c r="M13" s="15">
        <v>44631</v>
      </c>
      <c r="N13" s="14">
        <f t="shared" si="4"/>
        <v>193</v>
      </c>
      <c r="O13" s="1" t="s">
        <v>32</v>
      </c>
    </row>
    <row r="14" spans="1:15" x14ac:dyDescent="0.2">
      <c r="A14" s="16" t="s">
        <v>21</v>
      </c>
      <c r="B14" s="17">
        <v>63.93</v>
      </c>
      <c r="C14" s="17">
        <v>6.72</v>
      </c>
      <c r="D14" s="17">
        <v>8.5</v>
      </c>
      <c r="E14" s="17">
        <v>90</v>
      </c>
      <c r="F14" s="17">
        <f t="shared" si="0"/>
        <v>79.150000000000006</v>
      </c>
      <c r="G14" s="17">
        <v>1</v>
      </c>
      <c r="H14" s="17">
        <v>4</v>
      </c>
      <c r="I14" s="17">
        <f t="shared" si="1"/>
        <v>57.536999999999999</v>
      </c>
      <c r="J14" s="17">
        <f t="shared" si="2"/>
        <v>6.0479999999999992</v>
      </c>
      <c r="K14" s="17">
        <f t="shared" si="3"/>
        <v>7.65</v>
      </c>
      <c r="L14" s="18">
        <v>44102</v>
      </c>
      <c r="M14" s="18">
        <v>44378</v>
      </c>
      <c r="N14" s="19">
        <f t="shared" si="4"/>
        <v>276</v>
      </c>
      <c r="O14" s="1" t="s">
        <v>32</v>
      </c>
    </row>
    <row r="15" spans="1:15" x14ac:dyDescent="0.2">
      <c r="A15" s="16" t="s">
        <v>23</v>
      </c>
      <c r="B15" s="17">
        <v>49.39</v>
      </c>
      <c r="C15" s="17">
        <v>6.48</v>
      </c>
      <c r="D15" s="17">
        <v>25.23</v>
      </c>
      <c r="E15" s="17">
        <v>305</v>
      </c>
      <c r="F15" s="17">
        <f t="shared" si="0"/>
        <v>81.100000000000009</v>
      </c>
      <c r="G15" s="17">
        <v>1</v>
      </c>
      <c r="H15" s="17">
        <v>4</v>
      </c>
      <c r="I15" s="17">
        <f t="shared" si="1"/>
        <v>150.6395</v>
      </c>
      <c r="J15" s="17">
        <f t="shared" si="2"/>
        <v>19.763999999999999</v>
      </c>
      <c r="K15" s="17">
        <f t="shared" si="3"/>
        <v>76.95150000000001</v>
      </c>
      <c r="L15" s="18">
        <v>44102</v>
      </c>
      <c r="M15" s="18">
        <v>44378</v>
      </c>
      <c r="N15" s="19">
        <f t="shared" si="4"/>
        <v>276</v>
      </c>
      <c r="O15" s="1" t="s">
        <v>32</v>
      </c>
    </row>
    <row r="16" spans="1:15" x14ac:dyDescent="0.2">
      <c r="A16" s="16" t="s">
        <v>22</v>
      </c>
      <c r="B16" s="17">
        <v>42.94</v>
      </c>
      <c r="C16" s="17">
        <v>33.1</v>
      </c>
      <c r="D16" s="17">
        <v>10.79</v>
      </c>
      <c r="E16" s="17">
        <v>128</v>
      </c>
      <c r="F16" s="17">
        <f t="shared" si="0"/>
        <v>86.829999999999984</v>
      </c>
      <c r="G16" s="17">
        <v>1</v>
      </c>
      <c r="H16" s="17">
        <v>4</v>
      </c>
      <c r="I16" s="17">
        <f t="shared" si="1"/>
        <v>54.963200000000001</v>
      </c>
      <c r="J16" s="17">
        <f t="shared" si="2"/>
        <v>42.368000000000002</v>
      </c>
      <c r="K16" s="17">
        <f t="shared" si="3"/>
        <v>13.811199999999999</v>
      </c>
      <c r="L16" s="18">
        <v>44227</v>
      </c>
      <c r="M16" s="18">
        <v>44470</v>
      </c>
      <c r="N16" s="19">
        <f t="shared" si="4"/>
        <v>243</v>
      </c>
      <c r="O16" s="1" t="s">
        <v>32</v>
      </c>
    </row>
    <row r="17" spans="1:15" x14ac:dyDescent="0.2">
      <c r="A17" s="20" t="s">
        <v>24</v>
      </c>
      <c r="B17" s="21">
        <v>14.94</v>
      </c>
      <c r="C17" s="21">
        <v>3.31</v>
      </c>
      <c r="D17" s="21">
        <v>71.930000000000007</v>
      </c>
      <c r="E17" s="21">
        <v>470</v>
      </c>
      <c r="F17" s="21">
        <f t="shared" si="0"/>
        <v>90.18</v>
      </c>
      <c r="G17" s="21">
        <v>1</v>
      </c>
      <c r="H17" s="21">
        <v>5</v>
      </c>
      <c r="I17" s="21">
        <f t="shared" si="1"/>
        <v>70.218000000000004</v>
      </c>
      <c r="J17" s="21">
        <f t="shared" si="2"/>
        <v>15.557</v>
      </c>
      <c r="K17" s="21">
        <f t="shared" si="3"/>
        <v>338.07100000000008</v>
      </c>
      <c r="L17" s="22">
        <v>44009</v>
      </c>
      <c r="M17" s="22">
        <v>44350</v>
      </c>
      <c r="N17" s="23">
        <f t="shared" si="4"/>
        <v>341</v>
      </c>
      <c r="O17" s="1" t="s">
        <v>32</v>
      </c>
    </row>
    <row r="18" spans="1:15" x14ac:dyDescent="0.2">
      <c r="A18" s="20" t="s">
        <v>26</v>
      </c>
      <c r="B18" s="21">
        <v>3.9</v>
      </c>
      <c r="C18" s="21">
        <v>1.05</v>
      </c>
      <c r="D18" s="21">
        <v>89.71</v>
      </c>
      <c r="E18" s="21">
        <v>3231</v>
      </c>
      <c r="F18" s="21">
        <f t="shared" si="0"/>
        <v>94.66</v>
      </c>
      <c r="G18" s="21">
        <v>1</v>
      </c>
      <c r="H18" s="21">
        <v>5</v>
      </c>
      <c r="I18" s="21">
        <f t="shared" si="1"/>
        <v>126.009</v>
      </c>
      <c r="J18" s="21">
        <f t="shared" si="2"/>
        <v>33.9255</v>
      </c>
      <c r="K18" s="21">
        <f t="shared" si="3"/>
        <v>2898.5300999999995</v>
      </c>
      <c r="L18" s="22">
        <v>44183</v>
      </c>
      <c r="M18" s="22">
        <v>44467</v>
      </c>
      <c r="N18" s="23">
        <f t="shared" si="4"/>
        <v>284</v>
      </c>
      <c r="O18" s="1" t="s">
        <v>32</v>
      </c>
    </row>
    <row r="19" spans="1:15" x14ac:dyDescent="0.2">
      <c r="A19" s="20" t="s">
        <v>25</v>
      </c>
      <c r="B19" s="21">
        <v>9.92</v>
      </c>
      <c r="C19" s="21">
        <v>1.91</v>
      </c>
      <c r="D19" s="21">
        <v>70.989999999999995</v>
      </c>
      <c r="E19" s="21">
        <v>976</v>
      </c>
      <c r="F19" s="21">
        <f t="shared" si="0"/>
        <v>82.82</v>
      </c>
      <c r="G19" s="21">
        <v>1</v>
      </c>
      <c r="H19" s="21">
        <v>5</v>
      </c>
      <c r="I19" s="21">
        <f t="shared" si="1"/>
        <v>96.819199999999995</v>
      </c>
      <c r="J19" s="21">
        <f t="shared" si="2"/>
        <v>18.641599999999997</v>
      </c>
      <c r="K19" s="21">
        <f t="shared" si="3"/>
        <v>692.86239999999987</v>
      </c>
      <c r="L19" s="22">
        <v>44289</v>
      </c>
      <c r="M19" s="22">
        <v>44442</v>
      </c>
      <c r="N19" s="23">
        <f t="shared" si="4"/>
        <v>153</v>
      </c>
      <c r="O19" s="1" t="s">
        <v>32</v>
      </c>
    </row>
    <row r="20" spans="1:15" x14ac:dyDescent="0.2">
      <c r="A20" s="20" t="s">
        <v>13</v>
      </c>
      <c r="B20" s="21">
        <v>5.73</v>
      </c>
      <c r="C20" s="21">
        <v>1.0900000000000001</v>
      </c>
      <c r="D20" s="21">
        <v>90.62</v>
      </c>
      <c r="E20" s="21">
        <v>956</v>
      </c>
      <c r="F20" s="21">
        <f t="shared" si="0"/>
        <v>97.44</v>
      </c>
      <c r="G20" s="21">
        <v>6</v>
      </c>
      <c r="H20" s="21">
        <v>5</v>
      </c>
      <c r="I20" s="21">
        <f t="shared" si="1"/>
        <v>54.778800000000004</v>
      </c>
      <c r="J20" s="21">
        <f t="shared" si="2"/>
        <v>10.420399999999999</v>
      </c>
      <c r="K20" s="21">
        <f t="shared" si="3"/>
        <v>866.32720000000006</v>
      </c>
      <c r="L20" s="22">
        <v>44439</v>
      </c>
      <c r="M20" s="22">
        <v>44652</v>
      </c>
      <c r="N20" s="23">
        <f t="shared" si="4"/>
        <v>213</v>
      </c>
      <c r="O20" s="1" t="s">
        <v>32</v>
      </c>
    </row>
    <row r="21" spans="1:15" x14ac:dyDescent="0.2">
      <c r="A21" s="20" t="s">
        <v>14</v>
      </c>
      <c r="B21" s="21">
        <v>3.58</v>
      </c>
      <c r="C21" s="21">
        <v>4.1900000000000004</v>
      </c>
      <c r="D21" s="21">
        <v>89.08</v>
      </c>
      <c r="E21" s="21">
        <v>3603</v>
      </c>
      <c r="F21" s="21">
        <f t="shared" si="0"/>
        <v>96.85</v>
      </c>
      <c r="G21" s="21">
        <v>6</v>
      </c>
      <c r="H21" s="21">
        <v>5</v>
      </c>
      <c r="I21" s="21">
        <f t="shared" si="1"/>
        <v>128.98740000000001</v>
      </c>
      <c r="J21" s="21">
        <f t="shared" si="2"/>
        <v>150.96570000000003</v>
      </c>
      <c r="K21" s="21">
        <f t="shared" si="3"/>
        <v>3209.5524</v>
      </c>
      <c r="L21" s="22">
        <v>44617</v>
      </c>
      <c r="M21" s="22">
        <v>44652</v>
      </c>
      <c r="N21" s="23">
        <f t="shared" si="4"/>
        <v>35</v>
      </c>
      <c r="O21" s="1" t="s">
        <v>32</v>
      </c>
    </row>
    <row r="22" spans="1:15" x14ac:dyDescent="0.2">
      <c r="A22" s="25" t="s">
        <v>34</v>
      </c>
      <c r="B22" s="26">
        <v>6.67</v>
      </c>
      <c r="C22" s="26">
        <v>1.31</v>
      </c>
      <c r="D22" s="26">
        <v>87.78</v>
      </c>
      <c r="E22" s="29">
        <v>506</v>
      </c>
      <c r="F22" s="14">
        <v>97.06</v>
      </c>
      <c r="G22" s="14">
        <v>20</v>
      </c>
      <c r="H22" s="14"/>
      <c r="I22" s="13">
        <f t="shared" ref="I22:I31" si="5">$E22*B22/100</f>
        <v>33.7502</v>
      </c>
      <c r="J22" s="13">
        <f t="shared" ref="J22:J31" si="6">$E22*C22/100</f>
        <v>6.6286000000000005</v>
      </c>
      <c r="K22" s="13">
        <f t="shared" ref="K22:K31" si="7">$E22*D22/100</f>
        <v>444.16680000000002</v>
      </c>
      <c r="L22" s="12"/>
      <c r="M22" s="27">
        <v>44890</v>
      </c>
      <c r="N22" s="14"/>
      <c r="O22" s="1" t="s">
        <v>32</v>
      </c>
    </row>
    <row r="23" spans="1:15" x14ac:dyDescent="0.2">
      <c r="A23" s="25" t="s">
        <v>35</v>
      </c>
      <c r="B23" s="26">
        <v>6.2</v>
      </c>
      <c r="C23" s="26">
        <v>8.1999999999999993</v>
      </c>
      <c r="D23" s="26">
        <v>75.069999999999993</v>
      </c>
      <c r="E23" s="29">
        <v>127</v>
      </c>
      <c r="F23" s="14">
        <v>95.94</v>
      </c>
      <c r="G23" s="14">
        <v>20</v>
      </c>
      <c r="H23" s="14"/>
      <c r="I23" s="13">
        <f t="shared" si="5"/>
        <v>7.8739999999999997</v>
      </c>
      <c r="J23" s="13">
        <f t="shared" si="6"/>
        <v>10.413999999999998</v>
      </c>
      <c r="K23" s="13">
        <f t="shared" si="7"/>
        <v>95.338899999999995</v>
      </c>
      <c r="L23" s="12"/>
      <c r="M23" s="27">
        <v>44890</v>
      </c>
      <c r="N23" s="14"/>
      <c r="O23" s="1" t="s">
        <v>32</v>
      </c>
    </row>
    <row r="24" spans="1:15" x14ac:dyDescent="0.2">
      <c r="A24" s="25" t="s">
        <v>36</v>
      </c>
      <c r="B24" s="26">
        <v>13.53</v>
      </c>
      <c r="C24" s="26">
        <v>48.03</v>
      </c>
      <c r="D24" s="26">
        <v>26.02</v>
      </c>
      <c r="E24" s="29">
        <v>63</v>
      </c>
      <c r="F24" s="14">
        <v>92.34</v>
      </c>
      <c r="G24" s="14">
        <v>20</v>
      </c>
      <c r="H24" s="14"/>
      <c r="I24" s="13">
        <f t="shared" si="5"/>
        <v>8.5238999999999994</v>
      </c>
      <c r="J24" s="13">
        <f t="shared" si="6"/>
        <v>30.258899999999997</v>
      </c>
      <c r="K24" s="13">
        <f t="shared" si="7"/>
        <v>16.392600000000002</v>
      </c>
      <c r="L24" s="12"/>
      <c r="M24" s="27">
        <v>44890</v>
      </c>
      <c r="N24" s="14"/>
      <c r="O24" s="1" t="s">
        <v>32</v>
      </c>
    </row>
    <row r="25" spans="1:15" x14ac:dyDescent="0.2">
      <c r="A25" s="25" t="s">
        <v>37</v>
      </c>
      <c r="B25" s="26">
        <v>26.55</v>
      </c>
      <c r="C25" s="26">
        <v>14.72</v>
      </c>
      <c r="D25" s="26">
        <v>44.92</v>
      </c>
      <c r="E25" s="29">
        <v>36</v>
      </c>
      <c r="F25" s="14">
        <v>87.55</v>
      </c>
      <c r="G25" s="14">
        <v>20</v>
      </c>
      <c r="H25" s="14"/>
      <c r="I25" s="13">
        <f t="shared" si="5"/>
        <v>9.5579999999999998</v>
      </c>
      <c r="J25" s="13">
        <f t="shared" si="6"/>
        <v>5.2992000000000008</v>
      </c>
      <c r="K25" s="13">
        <f t="shared" si="7"/>
        <v>16.171200000000002</v>
      </c>
      <c r="L25" s="12"/>
      <c r="M25" s="27">
        <v>44890</v>
      </c>
      <c r="N25" s="14"/>
      <c r="O25" s="1" t="s">
        <v>32</v>
      </c>
    </row>
    <row r="26" spans="1:15" x14ac:dyDescent="0.2">
      <c r="A26" s="25" t="s">
        <v>38</v>
      </c>
      <c r="B26" s="26">
        <v>3.03</v>
      </c>
      <c r="C26" s="26">
        <v>1.2</v>
      </c>
      <c r="D26" s="26">
        <v>94.33</v>
      </c>
      <c r="E26" s="29">
        <v>101</v>
      </c>
      <c r="F26" s="14">
        <v>98.76</v>
      </c>
      <c r="G26" s="14">
        <v>20</v>
      </c>
      <c r="H26" s="14"/>
      <c r="I26" s="13">
        <f t="shared" si="5"/>
        <v>3.0602999999999998</v>
      </c>
      <c r="J26" s="13">
        <f t="shared" si="6"/>
        <v>1.212</v>
      </c>
      <c r="K26" s="13">
        <f t="shared" si="7"/>
        <v>95.273300000000006</v>
      </c>
      <c r="L26" s="12"/>
      <c r="M26" s="27">
        <v>44890</v>
      </c>
      <c r="N26" s="14"/>
      <c r="O26" s="1" t="s">
        <v>32</v>
      </c>
    </row>
    <row r="27" spans="1:15" x14ac:dyDescent="0.2">
      <c r="A27" s="25" t="s">
        <v>39</v>
      </c>
      <c r="B27" s="26">
        <v>10.96</v>
      </c>
      <c r="C27" s="26">
        <v>6.18</v>
      </c>
      <c r="D27" s="26">
        <v>75.209999999999994</v>
      </c>
      <c r="E27" s="29">
        <v>51</v>
      </c>
      <c r="F27" s="14">
        <v>94.47</v>
      </c>
      <c r="G27" s="14">
        <v>20</v>
      </c>
      <c r="H27" s="14"/>
      <c r="I27" s="13">
        <f t="shared" si="5"/>
        <v>5.5896000000000008</v>
      </c>
      <c r="J27" s="13">
        <f t="shared" si="6"/>
        <v>3.1518000000000002</v>
      </c>
      <c r="K27" s="13">
        <f t="shared" si="7"/>
        <v>38.357099999999996</v>
      </c>
      <c r="L27" s="12"/>
      <c r="M27" s="27">
        <v>44890</v>
      </c>
      <c r="N27" s="14"/>
      <c r="O27" s="1" t="s">
        <v>33</v>
      </c>
    </row>
    <row r="28" spans="1:15" x14ac:dyDescent="0.2">
      <c r="A28" s="25" t="s">
        <v>40</v>
      </c>
      <c r="B28" s="26">
        <v>13.06</v>
      </c>
      <c r="C28" s="26">
        <v>12.15</v>
      </c>
      <c r="D28" s="26">
        <v>60.98</v>
      </c>
      <c r="E28" s="29">
        <v>111</v>
      </c>
      <c r="F28" s="14">
        <v>92.57</v>
      </c>
      <c r="G28" s="14">
        <v>20</v>
      </c>
      <c r="H28" s="14"/>
      <c r="I28" s="13">
        <f t="shared" si="5"/>
        <v>14.496600000000001</v>
      </c>
      <c r="J28" s="13">
        <f t="shared" si="6"/>
        <v>13.486500000000001</v>
      </c>
      <c r="K28" s="13">
        <f t="shared" si="7"/>
        <v>67.687799999999996</v>
      </c>
      <c r="L28" s="12"/>
      <c r="M28" s="27">
        <v>44890</v>
      </c>
      <c r="N28" s="14"/>
      <c r="O28" s="1" t="s">
        <v>33</v>
      </c>
    </row>
    <row r="29" spans="1:15" x14ac:dyDescent="0.2">
      <c r="A29" s="25" t="s">
        <v>41</v>
      </c>
      <c r="B29" s="26">
        <v>9.68</v>
      </c>
      <c r="C29" s="26">
        <v>4.0599999999999996</v>
      </c>
      <c r="D29" s="26">
        <v>75.760000000000005</v>
      </c>
      <c r="E29" s="29">
        <v>277</v>
      </c>
      <c r="F29" s="14">
        <v>95.46</v>
      </c>
      <c r="G29" s="14">
        <v>20</v>
      </c>
      <c r="H29" s="14"/>
      <c r="I29" s="13">
        <f t="shared" si="5"/>
        <v>26.813600000000001</v>
      </c>
      <c r="J29" s="13">
        <f t="shared" si="6"/>
        <v>11.246199999999998</v>
      </c>
      <c r="K29" s="13">
        <f t="shared" si="7"/>
        <v>209.8552</v>
      </c>
      <c r="L29" s="12"/>
      <c r="M29" s="27">
        <v>44890</v>
      </c>
      <c r="N29" s="14"/>
      <c r="O29" s="1" t="s">
        <v>33</v>
      </c>
    </row>
    <row r="30" spans="1:15" x14ac:dyDescent="0.2">
      <c r="A30" s="25" t="s">
        <v>42</v>
      </c>
      <c r="B30" s="26">
        <v>5.8</v>
      </c>
      <c r="C30" s="26">
        <v>36.58</v>
      </c>
      <c r="D30" s="26">
        <v>50.96</v>
      </c>
      <c r="E30" s="29">
        <v>155</v>
      </c>
      <c r="F30" s="14">
        <v>93.81</v>
      </c>
      <c r="G30" s="14">
        <v>20</v>
      </c>
      <c r="H30" s="14"/>
      <c r="I30" s="13">
        <f t="shared" si="5"/>
        <v>8.99</v>
      </c>
      <c r="J30" s="13">
        <f t="shared" si="6"/>
        <v>56.698999999999998</v>
      </c>
      <c r="K30" s="13">
        <f t="shared" si="7"/>
        <v>78.988</v>
      </c>
      <c r="L30" s="12"/>
      <c r="M30" s="27">
        <v>44890</v>
      </c>
      <c r="N30" s="14"/>
      <c r="O30" s="1" t="s">
        <v>33</v>
      </c>
    </row>
    <row r="31" spans="1:15" x14ac:dyDescent="0.2">
      <c r="A31" s="25" t="s">
        <v>43</v>
      </c>
      <c r="B31" s="26">
        <v>15.59</v>
      </c>
      <c r="C31" s="26">
        <v>28.5</v>
      </c>
      <c r="D31" s="26">
        <v>39.85</v>
      </c>
      <c r="E31" s="29">
        <v>27</v>
      </c>
      <c r="F31" s="14">
        <v>85.95</v>
      </c>
      <c r="G31" s="14">
        <v>20</v>
      </c>
      <c r="H31" s="14"/>
      <c r="I31" s="13">
        <f t="shared" si="5"/>
        <v>4.2092999999999998</v>
      </c>
      <c r="J31" s="13">
        <f t="shared" si="6"/>
        <v>7.6950000000000003</v>
      </c>
      <c r="K31" s="13">
        <f t="shared" si="7"/>
        <v>10.759500000000001</v>
      </c>
      <c r="L31" s="12"/>
      <c r="M31" s="27">
        <v>44890</v>
      </c>
      <c r="N31" s="14"/>
      <c r="O31" s="1" t="s">
        <v>33</v>
      </c>
    </row>
    <row r="32" spans="1:15" x14ac:dyDescent="0.2">
      <c r="A32" s="12" t="s">
        <v>44</v>
      </c>
      <c r="B32" s="26">
        <v>7.53</v>
      </c>
      <c r="C32" s="26">
        <v>5</v>
      </c>
      <c r="D32" s="26">
        <v>83.91</v>
      </c>
      <c r="E32" s="13">
        <v>19</v>
      </c>
      <c r="F32" s="14">
        <v>97.16</v>
      </c>
      <c r="G32" s="14">
        <v>20</v>
      </c>
      <c r="H32" s="12"/>
      <c r="I32" s="13">
        <f t="shared" ref="I32:I41" si="8">$E32*B32/100</f>
        <v>1.4306999999999999</v>
      </c>
      <c r="J32" s="13">
        <f t="shared" ref="J32:J41" si="9">$E32*C32/100</f>
        <v>0.95</v>
      </c>
      <c r="K32" s="13">
        <f t="shared" ref="K32:K41" si="10">$E32*D32/100</f>
        <v>15.9429</v>
      </c>
      <c r="L32" s="12"/>
      <c r="M32" s="27">
        <v>44904</v>
      </c>
      <c r="N32" s="14"/>
      <c r="O32" s="1" t="s">
        <v>32</v>
      </c>
    </row>
    <row r="33" spans="1:15" x14ac:dyDescent="0.2">
      <c r="A33" s="12" t="s">
        <v>45</v>
      </c>
      <c r="B33" s="26">
        <v>3.07</v>
      </c>
      <c r="C33" s="26">
        <v>0.51</v>
      </c>
      <c r="D33" s="26">
        <v>95.99</v>
      </c>
      <c r="E33" s="13">
        <v>30</v>
      </c>
      <c r="F33" s="14">
        <v>99.66</v>
      </c>
      <c r="G33" s="14">
        <v>20</v>
      </c>
      <c r="H33" s="12"/>
      <c r="I33" s="13">
        <f t="shared" si="8"/>
        <v>0.92099999999999993</v>
      </c>
      <c r="J33" s="13">
        <f t="shared" si="9"/>
        <v>0.153</v>
      </c>
      <c r="K33" s="13">
        <f t="shared" si="10"/>
        <v>28.796999999999997</v>
      </c>
      <c r="L33" s="12"/>
      <c r="M33" s="27">
        <v>44904</v>
      </c>
      <c r="N33" s="14"/>
      <c r="O33" s="1" t="s">
        <v>32</v>
      </c>
    </row>
    <row r="34" spans="1:15" x14ac:dyDescent="0.2">
      <c r="A34" s="12" t="s">
        <v>46</v>
      </c>
      <c r="B34" s="26">
        <v>5.42</v>
      </c>
      <c r="C34" s="26">
        <v>5.0199999999999996</v>
      </c>
      <c r="D34" s="26">
        <v>87.52</v>
      </c>
      <c r="E34" s="13">
        <v>67</v>
      </c>
      <c r="F34" s="14">
        <v>98.27</v>
      </c>
      <c r="G34" s="14">
        <v>20</v>
      </c>
      <c r="H34" s="12"/>
      <c r="I34" s="13">
        <f t="shared" si="8"/>
        <v>3.6313999999999997</v>
      </c>
      <c r="J34" s="13">
        <f t="shared" si="9"/>
        <v>3.3633999999999999</v>
      </c>
      <c r="K34" s="13">
        <f t="shared" si="10"/>
        <v>58.638400000000004</v>
      </c>
      <c r="L34" s="12"/>
      <c r="M34" s="27">
        <v>44904</v>
      </c>
      <c r="N34" s="14"/>
      <c r="O34" s="1" t="s">
        <v>32</v>
      </c>
    </row>
    <row r="35" spans="1:15" x14ac:dyDescent="0.2">
      <c r="A35" s="12" t="s">
        <v>47</v>
      </c>
      <c r="B35" s="26">
        <v>9.56</v>
      </c>
      <c r="C35" s="26">
        <v>15.18</v>
      </c>
      <c r="D35" s="26">
        <v>64.75</v>
      </c>
      <c r="E35" s="13">
        <v>76</v>
      </c>
      <c r="F35" s="14">
        <v>93.570000000000007</v>
      </c>
      <c r="G35" s="14">
        <v>20</v>
      </c>
      <c r="H35" s="12"/>
      <c r="I35" s="13">
        <f t="shared" si="8"/>
        <v>7.2656000000000009</v>
      </c>
      <c r="J35" s="13">
        <f t="shared" si="9"/>
        <v>11.536800000000001</v>
      </c>
      <c r="K35" s="13">
        <f t="shared" si="10"/>
        <v>49.21</v>
      </c>
      <c r="L35" s="12"/>
      <c r="M35" s="27">
        <v>44904</v>
      </c>
      <c r="N35" s="14"/>
      <c r="O35" s="1" t="s">
        <v>32</v>
      </c>
    </row>
    <row r="36" spans="1:15" x14ac:dyDescent="0.2">
      <c r="A36" s="12" t="s">
        <v>48</v>
      </c>
      <c r="B36" s="26">
        <v>8.65</v>
      </c>
      <c r="C36" s="26">
        <v>15.47</v>
      </c>
      <c r="D36" s="26">
        <v>72.290000000000006</v>
      </c>
      <c r="E36" s="13">
        <v>118</v>
      </c>
      <c r="F36" s="14">
        <v>97.070000000000007</v>
      </c>
      <c r="G36" s="14">
        <v>20</v>
      </c>
      <c r="H36" s="12"/>
      <c r="I36" s="13">
        <f t="shared" si="8"/>
        <v>10.207000000000001</v>
      </c>
      <c r="J36" s="13">
        <f t="shared" si="9"/>
        <v>18.2546</v>
      </c>
      <c r="K36" s="13">
        <f t="shared" si="10"/>
        <v>85.302200000000013</v>
      </c>
      <c r="L36" s="12"/>
      <c r="M36" s="27">
        <v>44904</v>
      </c>
      <c r="N36" s="14"/>
      <c r="O36" s="1" t="s">
        <v>32</v>
      </c>
    </row>
    <row r="37" spans="1:15" x14ac:dyDescent="0.2">
      <c r="A37" s="12" t="s">
        <v>49</v>
      </c>
      <c r="B37" s="26">
        <v>9.0500000000000007</v>
      </c>
      <c r="C37" s="26">
        <v>19.399999999999999</v>
      </c>
      <c r="D37" s="26">
        <v>65.47</v>
      </c>
      <c r="E37" s="13">
        <v>17</v>
      </c>
      <c r="F37" s="14">
        <v>94.429999999999993</v>
      </c>
      <c r="G37" s="14">
        <v>20</v>
      </c>
      <c r="H37" s="12"/>
      <c r="I37" s="13">
        <f t="shared" si="8"/>
        <v>1.5385000000000002</v>
      </c>
      <c r="J37" s="13">
        <f t="shared" si="9"/>
        <v>3.2979999999999996</v>
      </c>
      <c r="K37" s="13">
        <f t="shared" si="10"/>
        <v>11.129899999999999</v>
      </c>
      <c r="L37" s="12"/>
      <c r="M37" s="27">
        <v>44904</v>
      </c>
      <c r="N37" s="14"/>
      <c r="O37" s="1" t="s">
        <v>33</v>
      </c>
    </row>
    <row r="38" spans="1:15" x14ac:dyDescent="0.2">
      <c r="A38" s="12" t="s">
        <v>50</v>
      </c>
      <c r="B38" s="26">
        <v>28.05</v>
      </c>
      <c r="C38" s="26">
        <v>61.55</v>
      </c>
      <c r="D38" s="26">
        <v>0.94</v>
      </c>
      <c r="E38" s="13">
        <v>25</v>
      </c>
      <c r="F38" s="14">
        <v>91.22</v>
      </c>
      <c r="G38" s="14">
        <v>20</v>
      </c>
      <c r="H38" s="12"/>
      <c r="I38" s="13">
        <f t="shared" si="8"/>
        <v>7.0125000000000002</v>
      </c>
      <c r="J38" s="13">
        <f t="shared" si="9"/>
        <v>15.387499999999999</v>
      </c>
      <c r="K38" s="13">
        <f t="shared" si="10"/>
        <v>0.23499999999999999</v>
      </c>
      <c r="L38" s="12"/>
      <c r="M38" s="27">
        <v>44904</v>
      </c>
      <c r="N38" s="14"/>
      <c r="O38" s="1" t="s">
        <v>33</v>
      </c>
    </row>
    <row r="39" spans="1:15" x14ac:dyDescent="0.2">
      <c r="A39" s="12" t="s">
        <v>51</v>
      </c>
      <c r="B39" s="26">
        <v>6.96</v>
      </c>
      <c r="C39" s="26">
        <v>28.33</v>
      </c>
      <c r="D39" s="26">
        <v>55</v>
      </c>
      <c r="E39" s="13">
        <v>51</v>
      </c>
      <c r="F39" s="14">
        <v>94.55</v>
      </c>
      <c r="G39" s="14">
        <v>20</v>
      </c>
      <c r="H39" s="12"/>
      <c r="I39" s="13">
        <f t="shared" si="8"/>
        <v>3.5495999999999999</v>
      </c>
      <c r="J39" s="13">
        <f t="shared" si="9"/>
        <v>14.4483</v>
      </c>
      <c r="K39" s="13">
        <f t="shared" si="10"/>
        <v>28.05</v>
      </c>
      <c r="L39" s="12"/>
      <c r="M39" s="27">
        <v>44904</v>
      </c>
      <c r="N39" s="14"/>
      <c r="O39" s="1" t="s">
        <v>33</v>
      </c>
    </row>
    <row r="40" spans="1:15" x14ac:dyDescent="0.2">
      <c r="A40" s="12" t="s">
        <v>52</v>
      </c>
      <c r="B40" s="26">
        <v>8.4499999999999993</v>
      </c>
      <c r="C40" s="26">
        <v>55.82</v>
      </c>
      <c r="D40" s="26">
        <v>19.16</v>
      </c>
      <c r="E40" s="13">
        <v>83</v>
      </c>
      <c r="F40" s="14">
        <v>90.830000000000013</v>
      </c>
      <c r="G40" s="14">
        <v>20</v>
      </c>
      <c r="H40" s="12"/>
      <c r="I40" s="13">
        <f t="shared" si="8"/>
        <v>7.0134999999999987</v>
      </c>
      <c r="J40" s="13">
        <f t="shared" si="9"/>
        <v>46.330600000000004</v>
      </c>
      <c r="K40" s="13">
        <f t="shared" si="10"/>
        <v>15.902799999999999</v>
      </c>
      <c r="L40" s="12"/>
      <c r="M40" s="27">
        <v>44904</v>
      </c>
      <c r="N40" s="14"/>
      <c r="O40" s="1" t="s">
        <v>33</v>
      </c>
    </row>
    <row r="41" spans="1:15" x14ac:dyDescent="0.2">
      <c r="A41" s="12" t="s">
        <v>53</v>
      </c>
      <c r="B41" s="26">
        <v>4.68</v>
      </c>
      <c r="C41" s="26">
        <v>2.29</v>
      </c>
      <c r="D41" s="26">
        <v>85.67</v>
      </c>
      <c r="E41" s="13">
        <v>224</v>
      </c>
      <c r="F41" s="14">
        <v>97.88</v>
      </c>
      <c r="G41" s="14">
        <v>20</v>
      </c>
      <c r="H41" s="14"/>
      <c r="I41" s="13">
        <f t="shared" si="8"/>
        <v>10.4832</v>
      </c>
      <c r="J41" s="13">
        <f t="shared" si="9"/>
        <v>5.1295999999999999</v>
      </c>
      <c r="K41" s="13">
        <f t="shared" si="10"/>
        <v>191.9008</v>
      </c>
      <c r="L41" s="12"/>
      <c r="M41" s="27">
        <v>44904</v>
      </c>
      <c r="N41" s="14"/>
      <c r="O41" s="1" t="s">
        <v>33</v>
      </c>
    </row>
  </sheetData>
  <autoFilter ref="A1:N1" xr:uid="{EA334130-A858-D448-BFC1-C7FB53DB4021}">
    <sortState xmlns:xlrd2="http://schemas.microsoft.com/office/spreadsheetml/2017/richdata2" ref="A2:N21">
      <sortCondition ref="H1:H21"/>
    </sortState>
  </autoFilter>
  <pageMargins left="0.7" right="0.7" top="0.75" bottom="0.75" header="0.3" footer="0.3"/>
  <ignoredErrors>
    <ignoredError sqref="F2:F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Feuil3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Germon</dc:creator>
  <cp:lastModifiedBy>Pierre Germon</cp:lastModifiedBy>
  <dcterms:created xsi:type="dcterms:W3CDTF">2022-06-09T16:44:59Z</dcterms:created>
  <dcterms:modified xsi:type="dcterms:W3CDTF">2025-07-08T16:05:16Z</dcterms:modified>
</cp:coreProperties>
</file>